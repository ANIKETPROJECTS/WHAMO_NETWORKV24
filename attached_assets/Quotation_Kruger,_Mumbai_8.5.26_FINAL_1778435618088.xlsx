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60" windowHeight="7680" tabRatio="854" activeTab="2"/>
  </bookViews>
  <sheets>
    <sheet name="MAIN L.T. PANEL_8,5,26" sheetId="15" r:id="rId1"/>
    <sheet name="MAIN L.T. PANEL_L&amp;T" sheetId="16" r:id="rId2"/>
    <sheet name="MAIN L.T. PANEL_L&amp;T-2" sheetId="17" r:id="rId3"/>
    <sheet name="L&amp;T MATERIALS ONLY" sheetId="18" r:id="rId4"/>
  </sheets>
  <definedNames>
    <definedName name="_xlnm._FilterDatabase" localSheetId="3" hidden="1">'L&amp;T MATERIALS ONLY'!$B$1:$B$127</definedName>
    <definedName name="_xlnm._FilterDatabase" localSheetId="0" hidden="1">'MAIN L.T. PANEL_8,5,26'!$B$1:$B$150</definedName>
    <definedName name="_xlnm._FilterDatabase" localSheetId="2" hidden="1">'MAIN L.T. PANEL_L&amp;T-2'!$B$1:$B$164</definedName>
    <definedName name="_xlnm.Print_Area" localSheetId="0">'MAIN L.T. PANEL_8,5,26'!$A$1:$I$142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0" i="17" l="1"/>
  <c r="I143" i="15"/>
  <c r="I15" i="16" l="1"/>
  <c r="I159" i="16" s="1"/>
  <c r="I160" i="16" s="1"/>
  <c r="H15" i="16"/>
  <c r="H5" i="18" l="1"/>
  <c r="H4" i="18"/>
  <c r="I118" i="18"/>
  <c r="I119" i="18" l="1"/>
  <c r="I120" i="18" s="1"/>
  <c r="H116" i="18"/>
  <c r="H115" i="18"/>
  <c r="H114" i="18"/>
  <c r="H113" i="18"/>
  <c r="H112" i="18"/>
  <c r="H109" i="18"/>
  <c r="I109" i="18" s="1"/>
  <c r="H108" i="18"/>
  <c r="I108" i="18" s="1"/>
  <c r="H107" i="18"/>
  <c r="I107" i="18" s="1"/>
  <c r="H106" i="18"/>
  <c r="I106" i="18" s="1"/>
  <c r="H104" i="18"/>
  <c r="I104" i="18" s="1"/>
  <c r="H103" i="18"/>
  <c r="I103" i="18" s="1"/>
  <c r="H102" i="18"/>
  <c r="I102" i="18" s="1"/>
  <c r="H101" i="18"/>
  <c r="I101" i="18" s="1"/>
  <c r="H100" i="18"/>
  <c r="I100" i="18" s="1"/>
  <c r="H99" i="18"/>
  <c r="I99" i="18" s="1"/>
  <c r="H97" i="18"/>
  <c r="I97" i="18" s="1"/>
  <c r="H96" i="18"/>
  <c r="I96" i="18" s="1"/>
  <c r="H95" i="18"/>
  <c r="I95" i="18" s="1"/>
  <c r="H94" i="18"/>
  <c r="I94" i="18" s="1"/>
  <c r="H93" i="18"/>
  <c r="I93" i="18" s="1"/>
  <c r="H92" i="18"/>
  <c r="I92" i="18" s="1"/>
  <c r="H90" i="18"/>
  <c r="I90" i="18" s="1"/>
  <c r="H89" i="18"/>
  <c r="I89" i="18" s="1"/>
  <c r="H88" i="18"/>
  <c r="I88" i="18" s="1"/>
  <c r="H87" i="18"/>
  <c r="I87" i="18" s="1"/>
  <c r="H86" i="18"/>
  <c r="I86" i="18" s="1"/>
  <c r="H85" i="18"/>
  <c r="I85" i="18" s="1"/>
  <c r="H83" i="18"/>
  <c r="I83" i="18" s="1"/>
  <c r="H82" i="18"/>
  <c r="I82" i="18" s="1"/>
  <c r="H81" i="18"/>
  <c r="I81" i="18" s="1"/>
  <c r="H80" i="18"/>
  <c r="I80" i="18" s="1"/>
  <c r="H79" i="18"/>
  <c r="I79" i="18" s="1"/>
  <c r="H78" i="18"/>
  <c r="I78" i="18" s="1"/>
  <c r="H76" i="18"/>
  <c r="I76" i="18" s="1"/>
  <c r="H75" i="18"/>
  <c r="I75" i="18" s="1"/>
  <c r="H74" i="18"/>
  <c r="I74" i="18" s="1"/>
  <c r="H73" i="18"/>
  <c r="I73" i="18" s="1"/>
  <c r="H72" i="18"/>
  <c r="I72" i="18" s="1"/>
  <c r="H71" i="18"/>
  <c r="I71" i="18" s="1"/>
  <c r="H69" i="18"/>
  <c r="I69" i="18" s="1"/>
  <c r="H68" i="18"/>
  <c r="I68" i="18" s="1"/>
  <c r="H67" i="18"/>
  <c r="I67" i="18" s="1"/>
  <c r="H66" i="18"/>
  <c r="I66" i="18" s="1"/>
  <c r="H65" i="18"/>
  <c r="I65" i="18" s="1"/>
  <c r="H64" i="18"/>
  <c r="I64" i="18" s="1"/>
  <c r="H62" i="18"/>
  <c r="I62" i="18" s="1"/>
  <c r="H61" i="18"/>
  <c r="I61" i="18" s="1"/>
  <c r="H60" i="18"/>
  <c r="I60" i="18" s="1"/>
  <c r="H59" i="18"/>
  <c r="I59" i="18" s="1"/>
  <c r="H58" i="18"/>
  <c r="I58" i="18" s="1"/>
  <c r="H57" i="18"/>
  <c r="I57" i="18" s="1"/>
  <c r="H55" i="18"/>
  <c r="I55" i="18" s="1"/>
  <c r="H54" i="18"/>
  <c r="I54" i="18" s="1"/>
  <c r="H53" i="18"/>
  <c r="I53" i="18" s="1"/>
  <c r="H52" i="18"/>
  <c r="I52" i="18" s="1"/>
  <c r="H51" i="18"/>
  <c r="I51" i="18" s="1"/>
  <c r="H50" i="18"/>
  <c r="I50" i="18" s="1"/>
  <c r="H48" i="18"/>
  <c r="I48" i="18" s="1"/>
  <c r="H47" i="18"/>
  <c r="I47" i="18" s="1"/>
  <c r="H46" i="18"/>
  <c r="I46" i="18" s="1"/>
  <c r="H45" i="18"/>
  <c r="I45" i="18" s="1"/>
  <c r="H44" i="18"/>
  <c r="I44" i="18" s="1"/>
  <c r="H43" i="18"/>
  <c r="I43" i="18" s="1"/>
  <c r="H41" i="18"/>
  <c r="I41" i="18" s="1"/>
  <c r="H40" i="18"/>
  <c r="I40" i="18" s="1"/>
  <c r="H39" i="18"/>
  <c r="I39" i="18" s="1"/>
  <c r="H38" i="18"/>
  <c r="I38" i="18" s="1"/>
  <c r="H37" i="18"/>
  <c r="I37" i="18" s="1"/>
  <c r="H36" i="18"/>
  <c r="I36" i="18" s="1"/>
  <c r="H34" i="18"/>
  <c r="I34" i="18" s="1"/>
  <c r="H33" i="18"/>
  <c r="I33" i="18" s="1"/>
  <c r="H32" i="18"/>
  <c r="I32" i="18" s="1"/>
  <c r="H31" i="18"/>
  <c r="I31" i="18" s="1"/>
  <c r="H30" i="18"/>
  <c r="I30" i="18" s="1"/>
  <c r="H29" i="18"/>
  <c r="I29" i="18" s="1"/>
  <c r="H27" i="18"/>
  <c r="I27" i="18" s="1"/>
  <c r="H26" i="18"/>
  <c r="I26" i="18" s="1"/>
  <c r="H25" i="18"/>
  <c r="I25" i="18" s="1"/>
  <c r="H24" i="18"/>
  <c r="I24" i="18" s="1"/>
  <c r="H23" i="18"/>
  <c r="I23" i="18" s="1"/>
  <c r="H22" i="18"/>
  <c r="I22" i="18" s="1"/>
  <c r="H19" i="18"/>
  <c r="I19" i="18" s="1"/>
  <c r="H18" i="18"/>
  <c r="I18" i="18" s="1"/>
  <c r="H17" i="18"/>
  <c r="I17" i="18" s="1"/>
  <c r="H16" i="18"/>
  <c r="I16" i="18" s="1"/>
  <c r="H15" i="18"/>
  <c r="I15" i="18" s="1"/>
  <c r="H14" i="18"/>
  <c r="I14" i="18" s="1"/>
  <c r="H13" i="18"/>
  <c r="I13" i="18" s="1"/>
  <c r="H10" i="18"/>
  <c r="I10" i="18" s="1"/>
  <c r="H9" i="18"/>
  <c r="I9" i="18" s="1"/>
  <c r="H8" i="18"/>
  <c r="I8" i="18" s="1"/>
  <c r="H7" i="18"/>
  <c r="I7" i="18" s="1"/>
  <c r="H6" i="18"/>
  <c r="I6" i="18" s="1"/>
  <c r="I5" i="18"/>
  <c r="I4" i="18"/>
  <c r="L157" i="17"/>
  <c r="H14" i="17"/>
  <c r="I14" i="17" s="1"/>
  <c r="I110" i="18" l="1"/>
  <c r="I142" i="16"/>
  <c r="H142" i="16"/>
  <c r="I161" i="16"/>
  <c r="H150" i="17"/>
  <c r="I150" i="17" s="1"/>
  <c r="H149" i="17"/>
  <c r="I149" i="17" s="1"/>
  <c r="H148" i="17"/>
  <c r="I148" i="17" s="1"/>
  <c r="H157" i="17"/>
  <c r="H156" i="17"/>
  <c r="H155" i="17"/>
  <c r="H154" i="17"/>
  <c r="H153" i="17"/>
  <c r="H147" i="17"/>
  <c r="I147" i="17" s="1"/>
  <c r="H145" i="17"/>
  <c r="I145" i="17" s="1"/>
  <c r="H144" i="17"/>
  <c r="I144" i="17" s="1"/>
  <c r="H143" i="17"/>
  <c r="I143" i="17" s="1"/>
  <c r="H142" i="17"/>
  <c r="I142" i="17" s="1"/>
  <c r="H141" i="17"/>
  <c r="I141" i="17" s="1"/>
  <c r="L140" i="17"/>
  <c r="H140" i="17"/>
  <c r="I140" i="17" s="1"/>
  <c r="H139" i="17"/>
  <c r="I139" i="17" s="1"/>
  <c r="H138" i="17"/>
  <c r="I138" i="17" s="1"/>
  <c r="H136" i="17"/>
  <c r="I136" i="17" s="1"/>
  <c r="H135" i="17"/>
  <c r="I135" i="17" s="1"/>
  <c r="H134" i="17"/>
  <c r="I134" i="17" s="1"/>
  <c r="H133" i="17"/>
  <c r="I133" i="17" s="1"/>
  <c r="H132" i="17"/>
  <c r="I132" i="17" s="1"/>
  <c r="H131" i="17"/>
  <c r="I131" i="17" s="1"/>
  <c r="H130" i="17"/>
  <c r="I130" i="17" s="1"/>
  <c r="H129" i="17"/>
  <c r="I129" i="17" s="1"/>
  <c r="H127" i="17"/>
  <c r="I127" i="17" s="1"/>
  <c r="H126" i="17"/>
  <c r="I126" i="17" s="1"/>
  <c r="H125" i="17"/>
  <c r="I125" i="17" s="1"/>
  <c r="H124" i="17"/>
  <c r="I124" i="17" s="1"/>
  <c r="H123" i="17"/>
  <c r="I123" i="17" s="1"/>
  <c r="H122" i="17"/>
  <c r="I122" i="17" s="1"/>
  <c r="H121" i="17"/>
  <c r="I121" i="17" s="1"/>
  <c r="H120" i="17"/>
  <c r="I120" i="17" s="1"/>
  <c r="H118" i="17"/>
  <c r="I118" i="17" s="1"/>
  <c r="H117" i="17"/>
  <c r="I117" i="17" s="1"/>
  <c r="H116" i="17"/>
  <c r="I116" i="17" s="1"/>
  <c r="H115" i="17"/>
  <c r="I115" i="17" s="1"/>
  <c r="H114" i="17"/>
  <c r="I114" i="17" s="1"/>
  <c r="H113" i="17"/>
  <c r="I113" i="17" s="1"/>
  <c r="H112" i="17"/>
  <c r="I112" i="17" s="1"/>
  <c r="H111" i="17"/>
  <c r="I111" i="17" s="1"/>
  <c r="H109" i="17"/>
  <c r="I109" i="17" s="1"/>
  <c r="H108" i="17"/>
  <c r="I108" i="17" s="1"/>
  <c r="H107" i="17"/>
  <c r="I107" i="17" s="1"/>
  <c r="H106" i="17"/>
  <c r="I106" i="17" s="1"/>
  <c r="H105" i="17"/>
  <c r="I105" i="17" s="1"/>
  <c r="H104" i="17"/>
  <c r="I104" i="17" s="1"/>
  <c r="H103" i="17"/>
  <c r="I103" i="17" s="1"/>
  <c r="H102" i="17"/>
  <c r="I102" i="17" s="1"/>
  <c r="H100" i="17"/>
  <c r="I100" i="17" s="1"/>
  <c r="H99" i="17"/>
  <c r="I99" i="17" s="1"/>
  <c r="H98" i="17"/>
  <c r="I98" i="17" s="1"/>
  <c r="H97" i="17"/>
  <c r="I97" i="17" s="1"/>
  <c r="H96" i="17"/>
  <c r="I96" i="17" s="1"/>
  <c r="H95" i="17"/>
  <c r="I95" i="17" s="1"/>
  <c r="H94" i="17"/>
  <c r="I94" i="17" s="1"/>
  <c r="H93" i="17"/>
  <c r="I93" i="17" s="1"/>
  <c r="H91" i="17"/>
  <c r="I91" i="17" s="1"/>
  <c r="H90" i="17"/>
  <c r="I90" i="17" s="1"/>
  <c r="H89" i="17"/>
  <c r="I89" i="17" s="1"/>
  <c r="H88" i="17"/>
  <c r="I88" i="17" s="1"/>
  <c r="H87" i="17"/>
  <c r="I87" i="17" s="1"/>
  <c r="H86" i="17"/>
  <c r="I86" i="17" s="1"/>
  <c r="H85" i="17"/>
  <c r="I85" i="17" s="1"/>
  <c r="H84" i="17"/>
  <c r="I84" i="17" s="1"/>
  <c r="H82" i="17"/>
  <c r="I82" i="17" s="1"/>
  <c r="H81" i="17"/>
  <c r="I81" i="17" s="1"/>
  <c r="H80" i="17"/>
  <c r="I80" i="17" s="1"/>
  <c r="H79" i="17"/>
  <c r="I79" i="17" s="1"/>
  <c r="H78" i="17"/>
  <c r="I78" i="17" s="1"/>
  <c r="H77" i="17"/>
  <c r="I77" i="17" s="1"/>
  <c r="H76" i="17"/>
  <c r="I76" i="17" s="1"/>
  <c r="H75" i="17"/>
  <c r="I75" i="17" s="1"/>
  <c r="H73" i="17"/>
  <c r="I73" i="17" s="1"/>
  <c r="H72" i="17"/>
  <c r="I72" i="17" s="1"/>
  <c r="H71" i="17"/>
  <c r="I71" i="17" s="1"/>
  <c r="H70" i="17"/>
  <c r="I70" i="17" s="1"/>
  <c r="H69" i="17"/>
  <c r="I69" i="17" s="1"/>
  <c r="H68" i="17"/>
  <c r="I68" i="17" s="1"/>
  <c r="H67" i="17"/>
  <c r="I67" i="17" s="1"/>
  <c r="H66" i="17"/>
  <c r="I66" i="17" s="1"/>
  <c r="H64" i="17"/>
  <c r="I64" i="17" s="1"/>
  <c r="H63" i="17"/>
  <c r="I63" i="17" s="1"/>
  <c r="H62" i="17"/>
  <c r="I62" i="17" s="1"/>
  <c r="H61" i="17"/>
  <c r="I61" i="17" s="1"/>
  <c r="H60" i="17"/>
  <c r="I60" i="17" s="1"/>
  <c r="H59" i="17"/>
  <c r="I59" i="17" s="1"/>
  <c r="H58" i="17"/>
  <c r="I58" i="17" s="1"/>
  <c r="H57" i="17"/>
  <c r="I57" i="17" s="1"/>
  <c r="H55" i="17"/>
  <c r="I55" i="17" s="1"/>
  <c r="H54" i="17"/>
  <c r="I54" i="17" s="1"/>
  <c r="H53" i="17"/>
  <c r="I53" i="17" s="1"/>
  <c r="H52" i="17"/>
  <c r="I52" i="17" s="1"/>
  <c r="H51" i="17"/>
  <c r="I51" i="17" s="1"/>
  <c r="H50" i="17"/>
  <c r="I50" i="17" s="1"/>
  <c r="H49" i="17"/>
  <c r="I49" i="17" s="1"/>
  <c r="H48" i="17"/>
  <c r="I48" i="17" s="1"/>
  <c r="H46" i="17"/>
  <c r="I46" i="17" s="1"/>
  <c r="H45" i="17"/>
  <c r="I45" i="17" s="1"/>
  <c r="H44" i="17"/>
  <c r="I44" i="17" s="1"/>
  <c r="H43" i="17"/>
  <c r="I43" i="17" s="1"/>
  <c r="H42" i="17"/>
  <c r="I42" i="17" s="1"/>
  <c r="H41" i="17"/>
  <c r="I41" i="17" s="1"/>
  <c r="H40" i="17"/>
  <c r="I40" i="17" s="1"/>
  <c r="H39" i="17"/>
  <c r="I39" i="17" s="1"/>
  <c r="H36" i="17"/>
  <c r="I36" i="17" s="1"/>
  <c r="H35" i="17"/>
  <c r="I35" i="17" s="1"/>
  <c r="H34" i="17"/>
  <c r="I34" i="17" s="1"/>
  <c r="H33" i="17"/>
  <c r="I33" i="17" s="1"/>
  <c r="H32" i="17"/>
  <c r="I32" i="17" s="1"/>
  <c r="N31" i="17"/>
  <c r="M31" i="17"/>
  <c r="H31" i="17"/>
  <c r="I31" i="17" s="1"/>
  <c r="N30" i="17"/>
  <c r="M30" i="17"/>
  <c r="H30" i="17"/>
  <c r="I30" i="17" s="1"/>
  <c r="H29" i="17"/>
  <c r="I29" i="17" s="1"/>
  <c r="H28" i="17"/>
  <c r="I28" i="17" s="1"/>
  <c r="H27" i="17"/>
  <c r="I27" i="17" s="1"/>
  <c r="H26" i="17"/>
  <c r="I26" i="17" s="1"/>
  <c r="H25" i="17"/>
  <c r="I25" i="17" s="1"/>
  <c r="H24" i="17"/>
  <c r="I24" i="17" s="1"/>
  <c r="H23" i="17"/>
  <c r="I23" i="17" s="1"/>
  <c r="H22" i="17"/>
  <c r="I22" i="17" s="1"/>
  <c r="H19" i="17"/>
  <c r="I19" i="17" s="1"/>
  <c r="H18" i="17"/>
  <c r="I18" i="17" s="1"/>
  <c r="H17" i="17"/>
  <c r="I17" i="17" s="1"/>
  <c r="H16" i="17"/>
  <c r="I16" i="17" s="1"/>
  <c r="H15" i="17"/>
  <c r="I15" i="17" s="1"/>
  <c r="H13" i="17"/>
  <c r="I13" i="17" s="1"/>
  <c r="H12" i="17"/>
  <c r="I12" i="17" s="1"/>
  <c r="H11" i="17"/>
  <c r="I11" i="17" s="1"/>
  <c r="H10" i="17"/>
  <c r="I10" i="17" s="1"/>
  <c r="H9" i="17"/>
  <c r="I9" i="17" s="1"/>
  <c r="H8" i="17"/>
  <c r="I8" i="17" s="1"/>
  <c r="H7" i="17"/>
  <c r="I7" i="17" s="1"/>
  <c r="H6" i="17"/>
  <c r="I6" i="17" s="1"/>
  <c r="H5" i="17"/>
  <c r="I5" i="17" s="1"/>
  <c r="H4" i="17"/>
  <c r="I4" i="17" s="1"/>
  <c r="M32" i="17" l="1"/>
  <c r="M34" i="17" s="1"/>
  <c r="N32" i="17"/>
  <c r="L150" i="17"/>
  <c r="L151" i="17" s="1"/>
  <c r="I159" i="17"/>
  <c r="H157" i="16"/>
  <c r="H156" i="16"/>
  <c r="H155" i="16"/>
  <c r="H154" i="16"/>
  <c r="H153" i="16"/>
  <c r="H151" i="16"/>
  <c r="I151" i="16" s="1"/>
  <c r="I149" i="16"/>
  <c r="H149" i="16"/>
  <c r="I148" i="16"/>
  <c r="H148" i="16"/>
  <c r="H147" i="16"/>
  <c r="I147" i="16" s="1"/>
  <c r="H146" i="16"/>
  <c r="I146" i="16" s="1"/>
  <c r="I145" i="16"/>
  <c r="H145" i="16"/>
  <c r="L144" i="16"/>
  <c r="H144" i="16"/>
  <c r="I144" i="16" s="1"/>
  <c r="I143" i="16"/>
  <c r="H143" i="16"/>
  <c r="H140" i="16"/>
  <c r="I140" i="16" s="1"/>
  <c r="H139" i="16"/>
  <c r="I139" i="16" s="1"/>
  <c r="H138" i="16"/>
  <c r="I138" i="16" s="1"/>
  <c r="H137" i="16"/>
  <c r="I137" i="16" s="1"/>
  <c r="H136" i="16"/>
  <c r="I136" i="16" s="1"/>
  <c r="H135" i="16"/>
  <c r="I135" i="16" s="1"/>
  <c r="I134" i="16"/>
  <c r="H134" i="16"/>
  <c r="H133" i="16"/>
  <c r="I133" i="16" s="1"/>
  <c r="H131" i="16"/>
  <c r="I131" i="16" s="1"/>
  <c r="H130" i="16"/>
  <c r="I130" i="16" s="1"/>
  <c r="H129" i="16"/>
  <c r="I129" i="16" s="1"/>
  <c r="H128" i="16"/>
  <c r="I128" i="16" s="1"/>
  <c r="H127" i="16"/>
  <c r="I127" i="16" s="1"/>
  <c r="H126" i="16"/>
  <c r="I126" i="16" s="1"/>
  <c r="I125" i="16"/>
  <c r="H125" i="16"/>
  <c r="H124" i="16"/>
  <c r="I124" i="16" s="1"/>
  <c r="H122" i="16"/>
  <c r="I122" i="16" s="1"/>
  <c r="H121" i="16"/>
  <c r="I121" i="16" s="1"/>
  <c r="H120" i="16"/>
  <c r="I120" i="16" s="1"/>
  <c r="H119" i="16"/>
  <c r="I119" i="16" s="1"/>
  <c r="H118" i="16"/>
  <c r="I118" i="16" s="1"/>
  <c r="H117" i="16"/>
  <c r="I117" i="16" s="1"/>
  <c r="I116" i="16"/>
  <c r="H116" i="16"/>
  <c r="H115" i="16"/>
  <c r="I115" i="16" s="1"/>
  <c r="H113" i="16"/>
  <c r="I113" i="16" s="1"/>
  <c r="H112" i="16"/>
  <c r="I112" i="16" s="1"/>
  <c r="H111" i="16"/>
  <c r="I111" i="16" s="1"/>
  <c r="H110" i="16"/>
  <c r="I110" i="16" s="1"/>
  <c r="H109" i="16"/>
  <c r="I109" i="16" s="1"/>
  <c r="H108" i="16"/>
  <c r="I108" i="16" s="1"/>
  <c r="I107" i="16"/>
  <c r="H107" i="16"/>
  <c r="H106" i="16"/>
  <c r="I106" i="16" s="1"/>
  <c r="H104" i="16"/>
  <c r="I104" i="16" s="1"/>
  <c r="H103" i="16"/>
  <c r="I103" i="16" s="1"/>
  <c r="H102" i="16"/>
  <c r="I102" i="16" s="1"/>
  <c r="H101" i="16"/>
  <c r="I101" i="16" s="1"/>
  <c r="H100" i="16"/>
  <c r="I100" i="16" s="1"/>
  <c r="H99" i="16"/>
  <c r="I99" i="16" s="1"/>
  <c r="I98" i="16"/>
  <c r="H98" i="16"/>
  <c r="H97" i="16"/>
  <c r="I97" i="16" s="1"/>
  <c r="H95" i="16"/>
  <c r="I95" i="16" s="1"/>
  <c r="H94" i="16"/>
  <c r="I94" i="16" s="1"/>
  <c r="H93" i="16"/>
  <c r="I93" i="16" s="1"/>
  <c r="H92" i="16"/>
  <c r="I92" i="16" s="1"/>
  <c r="H91" i="16"/>
  <c r="I91" i="16" s="1"/>
  <c r="H90" i="16"/>
  <c r="I90" i="16" s="1"/>
  <c r="I89" i="16"/>
  <c r="H89" i="16"/>
  <c r="H88" i="16"/>
  <c r="I88" i="16" s="1"/>
  <c r="H86" i="16"/>
  <c r="I86" i="16" s="1"/>
  <c r="H85" i="16"/>
  <c r="I85" i="16" s="1"/>
  <c r="H84" i="16"/>
  <c r="I84" i="16" s="1"/>
  <c r="H83" i="16"/>
  <c r="I83" i="16" s="1"/>
  <c r="H82" i="16"/>
  <c r="I82" i="16" s="1"/>
  <c r="H81" i="16"/>
  <c r="I81" i="16" s="1"/>
  <c r="I80" i="16"/>
  <c r="H80" i="16"/>
  <c r="H79" i="16"/>
  <c r="I79" i="16" s="1"/>
  <c r="H77" i="16"/>
  <c r="I77" i="16" s="1"/>
  <c r="H76" i="16"/>
  <c r="I76" i="16" s="1"/>
  <c r="H75" i="16"/>
  <c r="I75" i="16" s="1"/>
  <c r="H74" i="16"/>
  <c r="I74" i="16" s="1"/>
  <c r="H73" i="16"/>
  <c r="I73" i="16" s="1"/>
  <c r="H72" i="16"/>
  <c r="I72" i="16" s="1"/>
  <c r="I71" i="16"/>
  <c r="H71" i="16"/>
  <c r="H70" i="16"/>
  <c r="I70" i="16" s="1"/>
  <c r="H68" i="16"/>
  <c r="I68" i="16" s="1"/>
  <c r="H67" i="16"/>
  <c r="I67" i="16" s="1"/>
  <c r="H66" i="16"/>
  <c r="I66" i="16" s="1"/>
  <c r="H65" i="16"/>
  <c r="I65" i="16" s="1"/>
  <c r="H64" i="16"/>
  <c r="I64" i="16" s="1"/>
  <c r="H63" i="16"/>
  <c r="I63" i="16" s="1"/>
  <c r="I62" i="16"/>
  <c r="H62" i="16"/>
  <c r="H61" i="16"/>
  <c r="I61" i="16" s="1"/>
  <c r="H59" i="16"/>
  <c r="I59" i="16" s="1"/>
  <c r="H58" i="16"/>
  <c r="I58" i="16" s="1"/>
  <c r="H57" i="16"/>
  <c r="I57" i="16" s="1"/>
  <c r="H56" i="16"/>
  <c r="I56" i="16" s="1"/>
  <c r="H55" i="16"/>
  <c r="I55" i="16" s="1"/>
  <c r="H54" i="16"/>
  <c r="I54" i="16" s="1"/>
  <c r="I53" i="16"/>
  <c r="H53" i="16"/>
  <c r="H52" i="16"/>
  <c r="I52" i="16" s="1"/>
  <c r="H50" i="16"/>
  <c r="I50" i="16" s="1"/>
  <c r="H49" i="16"/>
  <c r="I49" i="16" s="1"/>
  <c r="H48" i="16"/>
  <c r="I48" i="16" s="1"/>
  <c r="H47" i="16"/>
  <c r="I47" i="16" s="1"/>
  <c r="H46" i="16"/>
  <c r="I46" i="16" s="1"/>
  <c r="H45" i="16"/>
  <c r="I45" i="16" s="1"/>
  <c r="I44" i="16"/>
  <c r="H44" i="16"/>
  <c r="H43" i="16"/>
  <c r="I43" i="16" s="1"/>
  <c r="H40" i="16"/>
  <c r="I40" i="16" s="1"/>
  <c r="H39" i="16"/>
  <c r="I39" i="16" s="1"/>
  <c r="I38" i="16"/>
  <c r="H38" i="16"/>
  <c r="H37" i="16"/>
  <c r="I37" i="16" s="1"/>
  <c r="I36" i="16"/>
  <c r="H36" i="16"/>
  <c r="M35" i="16"/>
  <c r="M37" i="16" s="1"/>
  <c r="H35" i="16"/>
  <c r="I35" i="16" s="1"/>
  <c r="N34" i="16"/>
  <c r="M34" i="16"/>
  <c r="H34" i="16"/>
  <c r="I34" i="16" s="1"/>
  <c r="N33" i="16"/>
  <c r="N35" i="16" s="1"/>
  <c r="M33" i="16"/>
  <c r="H33" i="16"/>
  <c r="I33" i="16" s="1"/>
  <c r="I32" i="16"/>
  <c r="H32" i="16"/>
  <c r="H31" i="16"/>
  <c r="I31" i="16" s="1"/>
  <c r="H30" i="16"/>
  <c r="I30" i="16" s="1"/>
  <c r="H29" i="16"/>
  <c r="I29" i="16" s="1"/>
  <c r="I28" i="16"/>
  <c r="H28" i="16"/>
  <c r="H27" i="16"/>
  <c r="I27" i="16" s="1"/>
  <c r="H26" i="16"/>
  <c r="I26" i="16" s="1"/>
  <c r="H25" i="16"/>
  <c r="I25" i="16" s="1"/>
  <c r="H24" i="16"/>
  <c r="I24" i="16" s="1"/>
  <c r="H21" i="16"/>
  <c r="I21" i="16" s="1"/>
  <c r="H20" i="16"/>
  <c r="I20" i="16" s="1"/>
  <c r="H19" i="16"/>
  <c r="I19" i="16" s="1"/>
  <c r="H18" i="16"/>
  <c r="I18" i="16" s="1"/>
  <c r="H17" i="16"/>
  <c r="I17" i="16" s="1"/>
  <c r="H16" i="16"/>
  <c r="I16" i="16" s="1"/>
  <c r="H14" i="16"/>
  <c r="I14" i="16" s="1"/>
  <c r="I13" i="16"/>
  <c r="H13" i="16"/>
  <c r="H12" i="16"/>
  <c r="I12" i="16" s="1"/>
  <c r="H11" i="16"/>
  <c r="I11" i="16" s="1"/>
  <c r="H10" i="16"/>
  <c r="I10" i="16" s="1"/>
  <c r="I9" i="16"/>
  <c r="H9" i="16"/>
  <c r="H8" i="16"/>
  <c r="I8" i="16" s="1"/>
  <c r="H7" i="16"/>
  <c r="I7" i="16" s="1"/>
  <c r="H6" i="16"/>
  <c r="I6" i="16" s="1"/>
  <c r="I5" i="16"/>
  <c r="H5" i="16"/>
  <c r="H4" i="16"/>
  <c r="I4" i="16" s="1"/>
  <c r="I161" i="17" l="1"/>
  <c r="L128" i="15"/>
  <c r="H127" i="15"/>
  <c r="I127" i="15" s="1"/>
  <c r="H119" i="15"/>
  <c r="I119" i="15" s="1"/>
  <c r="H111" i="15"/>
  <c r="I111" i="15" s="1"/>
  <c r="H103" i="15"/>
  <c r="I103" i="15" s="1"/>
  <c r="H95" i="15"/>
  <c r="I95" i="15" s="1"/>
  <c r="H63" i="15"/>
  <c r="I63" i="15" s="1"/>
  <c r="H87" i="15"/>
  <c r="I87" i="15" s="1"/>
  <c r="H79" i="15"/>
  <c r="I79" i="15" s="1"/>
  <c r="H71" i="15"/>
  <c r="I71" i="15" s="1"/>
  <c r="H55" i="15"/>
  <c r="I55" i="15" s="1"/>
  <c r="H47" i="15"/>
  <c r="I47" i="15" s="1"/>
  <c r="H39" i="15"/>
  <c r="I39" i="15" s="1"/>
  <c r="N30" i="15" l="1"/>
  <c r="N29" i="15"/>
  <c r="M30" i="15"/>
  <c r="M29" i="15"/>
  <c r="N31" i="15" l="1"/>
  <c r="M31" i="15"/>
  <c r="M33" i="15" s="1"/>
  <c r="H132" i="15"/>
  <c r="I132" i="15" s="1"/>
  <c r="H124" i="15"/>
  <c r="I124" i="15" s="1"/>
  <c r="H116" i="15"/>
  <c r="I116" i="15" s="1"/>
  <c r="H108" i="15"/>
  <c r="I108" i="15" s="1"/>
  <c r="H100" i="15"/>
  <c r="I100" i="15" s="1"/>
  <c r="H92" i="15"/>
  <c r="I92" i="15" s="1"/>
  <c r="H84" i="15"/>
  <c r="I84" i="15" s="1"/>
  <c r="H76" i="15"/>
  <c r="I76" i="15" s="1"/>
  <c r="H68" i="15"/>
  <c r="I68" i="15" s="1"/>
  <c r="H60" i="15"/>
  <c r="I60" i="15" s="1"/>
  <c r="H52" i="15"/>
  <c r="I52" i="15" s="1"/>
  <c r="H44" i="15"/>
  <c r="I44" i="15" s="1"/>
  <c r="H140" i="15"/>
  <c r="H139" i="15"/>
  <c r="H138" i="15"/>
  <c r="H137" i="15"/>
  <c r="H136" i="15"/>
  <c r="H134" i="15"/>
  <c r="I134" i="15" s="1"/>
  <c r="H131" i="15"/>
  <c r="I131" i="15" s="1"/>
  <c r="H130" i="15"/>
  <c r="I130" i="15" s="1"/>
  <c r="H129" i="15"/>
  <c r="I129" i="15" s="1"/>
  <c r="H128" i="15"/>
  <c r="I128" i="15" s="1"/>
  <c r="H126" i="15"/>
  <c r="I126" i="15" s="1"/>
  <c r="H123" i="15"/>
  <c r="I123" i="15" s="1"/>
  <c r="H122" i="15"/>
  <c r="I122" i="15" s="1"/>
  <c r="H121" i="15"/>
  <c r="I121" i="15" s="1"/>
  <c r="H120" i="15"/>
  <c r="I120" i="15" s="1"/>
  <c r="H118" i="15"/>
  <c r="I118" i="15" s="1"/>
  <c r="H115" i="15"/>
  <c r="I115" i="15" s="1"/>
  <c r="H114" i="15"/>
  <c r="I114" i="15" s="1"/>
  <c r="H113" i="15"/>
  <c r="I113" i="15" s="1"/>
  <c r="H112" i="15"/>
  <c r="I112" i="15" s="1"/>
  <c r="H110" i="15"/>
  <c r="I110" i="15" s="1"/>
  <c r="H107" i="15"/>
  <c r="I107" i="15" s="1"/>
  <c r="H106" i="15"/>
  <c r="I106" i="15" s="1"/>
  <c r="H105" i="15"/>
  <c r="I105" i="15" s="1"/>
  <c r="H104" i="15"/>
  <c r="I104" i="15" s="1"/>
  <c r="H102" i="15"/>
  <c r="I102" i="15" s="1"/>
  <c r="H99" i="15"/>
  <c r="I99" i="15" s="1"/>
  <c r="H98" i="15"/>
  <c r="I98" i="15" s="1"/>
  <c r="H97" i="15"/>
  <c r="I97" i="15" s="1"/>
  <c r="H96" i="15"/>
  <c r="I96" i="15" s="1"/>
  <c r="H94" i="15"/>
  <c r="I94" i="15" s="1"/>
  <c r="H91" i="15"/>
  <c r="I91" i="15" s="1"/>
  <c r="H90" i="15"/>
  <c r="I90" i="15" s="1"/>
  <c r="H89" i="15"/>
  <c r="I89" i="15" s="1"/>
  <c r="H88" i="15"/>
  <c r="I88" i="15" s="1"/>
  <c r="H86" i="15"/>
  <c r="I86" i="15" s="1"/>
  <c r="H83" i="15"/>
  <c r="I83" i="15" s="1"/>
  <c r="H82" i="15"/>
  <c r="I82" i="15" s="1"/>
  <c r="H81" i="15"/>
  <c r="I81" i="15" s="1"/>
  <c r="H80" i="15"/>
  <c r="I80" i="15" s="1"/>
  <c r="H78" i="15"/>
  <c r="I78" i="15" s="1"/>
  <c r="H75" i="15"/>
  <c r="I75" i="15" s="1"/>
  <c r="H74" i="15"/>
  <c r="I74" i="15" s="1"/>
  <c r="H73" i="15"/>
  <c r="I73" i="15" s="1"/>
  <c r="H72" i="15"/>
  <c r="I72" i="15" s="1"/>
  <c r="H70" i="15"/>
  <c r="I70" i="15" s="1"/>
  <c r="H67" i="15"/>
  <c r="I67" i="15" s="1"/>
  <c r="H66" i="15"/>
  <c r="I66" i="15" s="1"/>
  <c r="H65" i="15"/>
  <c r="I65" i="15" s="1"/>
  <c r="H64" i="15"/>
  <c r="I64" i="15" s="1"/>
  <c r="H62" i="15"/>
  <c r="I62" i="15" s="1"/>
  <c r="H59" i="15"/>
  <c r="I59" i="15" s="1"/>
  <c r="H58" i="15"/>
  <c r="I58" i="15" s="1"/>
  <c r="H57" i="15"/>
  <c r="I57" i="15" s="1"/>
  <c r="H56" i="15"/>
  <c r="I56" i="15" s="1"/>
  <c r="H54" i="15"/>
  <c r="I54" i="15" s="1"/>
  <c r="H51" i="15"/>
  <c r="I51" i="15" s="1"/>
  <c r="H50" i="15"/>
  <c r="I50" i="15" s="1"/>
  <c r="H49" i="15"/>
  <c r="I49" i="15" s="1"/>
  <c r="H48" i="15"/>
  <c r="I48" i="15" s="1"/>
  <c r="H46" i="15"/>
  <c r="I46" i="15" s="1"/>
  <c r="H43" i="15"/>
  <c r="I43" i="15" s="1"/>
  <c r="H42" i="15"/>
  <c r="I42" i="15" s="1"/>
  <c r="H41" i="15"/>
  <c r="I41" i="15" s="1"/>
  <c r="H40" i="15"/>
  <c r="I40" i="15" s="1"/>
  <c r="H38" i="15"/>
  <c r="I38" i="15" s="1"/>
  <c r="H35" i="15"/>
  <c r="I35" i="15" s="1"/>
  <c r="H34" i="15"/>
  <c r="I34" i="15" s="1"/>
  <c r="H33" i="15"/>
  <c r="I33" i="15" s="1"/>
  <c r="H32" i="15"/>
  <c r="I32" i="15" s="1"/>
  <c r="H31" i="15"/>
  <c r="I31" i="15" s="1"/>
  <c r="H30" i="15"/>
  <c r="I30" i="15" s="1"/>
  <c r="H29" i="15"/>
  <c r="I29" i="15" s="1"/>
  <c r="H28" i="15"/>
  <c r="I28" i="15" s="1"/>
  <c r="H27" i="15"/>
  <c r="I27" i="15" s="1"/>
  <c r="H26" i="15"/>
  <c r="I26" i="15" s="1"/>
  <c r="H25" i="15"/>
  <c r="I25" i="15" s="1"/>
  <c r="H24" i="15"/>
  <c r="I24" i="15" s="1"/>
  <c r="H23" i="15"/>
  <c r="I23" i="15" s="1"/>
  <c r="H22" i="15"/>
  <c r="I22" i="15" s="1"/>
  <c r="H21" i="15"/>
  <c r="I21" i="15" s="1"/>
  <c r="H18" i="15"/>
  <c r="I18" i="15" s="1"/>
  <c r="H17" i="15"/>
  <c r="I17" i="15" s="1"/>
  <c r="H16" i="15"/>
  <c r="I16" i="15" s="1"/>
  <c r="H15" i="15"/>
  <c r="I15" i="15" s="1"/>
  <c r="H14" i="15"/>
  <c r="I14" i="15" s="1"/>
  <c r="H13" i="15"/>
  <c r="I13" i="15" s="1"/>
  <c r="H12" i="15"/>
  <c r="I12" i="15" s="1"/>
  <c r="H11" i="15"/>
  <c r="I11" i="15" s="1"/>
  <c r="H10" i="15"/>
  <c r="I10" i="15" s="1"/>
  <c r="H9" i="15"/>
  <c r="I9" i="15" s="1"/>
  <c r="H8" i="15"/>
  <c r="I8" i="15" s="1"/>
  <c r="H7" i="15"/>
  <c r="I7" i="15" s="1"/>
  <c r="H6" i="15"/>
  <c r="I6" i="15" s="1"/>
  <c r="H5" i="15"/>
  <c r="I5" i="15" s="1"/>
  <c r="H4" i="15"/>
  <c r="I4" i="15" s="1"/>
  <c r="I142" i="15" l="1"/>
  <c r="I144" i="15" l="1"/>
</calcChain>
</file>

<file path=xl/comments1.xml><?xml version="1.0" encoding="utf-8"?>
<comments xmlns="http://schemas.openxmlformats.org/spreadsheetml/2006/main">
  <authors>
    <author>Hp</author>
  </authors>
  <commentList>
    <comment ref="L151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UNIT PRICE</t>
        </r>
      </text>
    </comment>
  </commentList>
</comments>
</file>

<file path=xl/sharedStrings.xml><?xml version="1.0" encoding="utf-8"?>
<sst xmlns="http://schemas.openxmlformats.org/spreadsheetml/2006/main" count="1529" uniqueCount="129">
  <si>
    <t>DESCRIPTION</t>
  </si>
  <si>
    <t>UNIT</t>
  </si>
  <si>
    <t>NOS</t>
  </si>
  <si>
    <t>FABRICATION</t>
  </si>
  <si>
    <t>SET</t>
  </si>
  <si>
    <t>REPUTED</t>
  </si>
  <si>
    <t>AUX. CONTACT (1C/O+1TAC)</t>
  </si>
  <si>
    <t>MAIN L.T. PANEL</t>
  </si>
  <si>
    <t>SR.
NO</t>
  </si>
  <si>
    <t>MAKE</t>
  </si>
  <si>
    <t xml:space="preserve">
RATE</t>
  </si>
  <si>
    <t>LED INDICATION LAMP R,Y,B</t>
  </si>
  <si>
    <t>C.T.1600/5A,10KA,CL-1</t>
  </si>
  <si>
    <t>SCHNEIDER</t>
  </si>
  <si>
    <t>SPACE HEATER</t>
  </si>
  <si>
    <t>SERVICE LAMP</t>
  </si>
  <si>
    <t>DOOR LIMITS SWITCH</t>
  </si>
  <si>
    <t>OUT GOING FEEDER</t>
  </si>
  <si>
    <t>LABOUR &amp; TRANSPORT</t>
  </si>
  <si>
    <t>1600A 4P 50KA EDO ACB WITH O/C,E/F PROTECTION</t>
  </si>
  <si>
    <t>QTY</t>
  </si>
  <si>
    <t>A</t>
  </si>
  <si>
    <t>Start/Stop Push button</t>
  </si>
  <si>
    <t>ON Off Indication Lamp</t>
  </si>
  <si>
    <t>B</t>
  </si>
  <si>
    <t>1000A 4P 50KA EDO ACB WITH O/C,E/F PROTECTION</t>
  </si>
  <si>
    <t>C.T.1000/5A,10KA,CL-1</t>
  </si>
  <si>
    <t>CONTROL 6A SP MCB</t>
  </si>
  <si>
    <t>LUG,WIRE, HARDWERE</t>
  </si>
  <si>
    <t>MAIN INCOMER-1</t>
  </si>
  <si>
    <t>G.TOTAL</t>
  </si>
  <si>
    <t>1 SET OF SPREADER 4P 70MM NS400/630</t>
  </si>
  <si>
    <t>4P SPREADER PH BARRIERS</t>
  </si>
  <si>
    <t>4P SPREADER PH BARRIERS( LV431564)</t>
  </si>
  <si>
    <t>O/V,U/V ELECTROMAGNETIC RELAY VAG21</t>
  </si>
  <si>
    <t>AUTO/MANUAL SWITCH, 6A, 2P</t>
  </si>
  <si>
    <t>TNC SWITCH WITH 2NO+2NC</t>
  </si>
  <si>
    <t>ALSTOM</t>
  </si>
  <si>
    <t xml:space="preserve">250A 4P 36 KA MCCB </t>
  </si>
  <si>
    <t xml:space="preserve">650A 4P 36 KA MCCB </t>
  </si>
  <si>
    <t xml:space="preserve">315A 4P 36 KA MCCB </t>
  </si>
  <si>
    <t xml:space="preserve">450A 4P 36 KA MCCB </t>
  </si>
  <si>
    <t xml:space="preserve">400A 4P 36 KA MCCB </t>
  </si>
  <si>
    <t xml:space="preserve">500A 4P 36 KA MCCB </t>
  </si>
  <si>
    <t xml:space="preserve">630A 4P 36 KA MCCB </t>
  </si>
  <si>
    <t xml:space="preserve">160A 4P 36 KA MCCB </t>
  </si>
  <si>
    <t>DISCOUNT %</t>
  </si>
  <si>
    <t>UNIT PRICE</t>
  </si>
  <si>
    <t>NET RATE</t>
  </si>
  <si>
    <t>MINILEC 6WINDOW ANNUNCIATOR</t>
  </si>
  <si>
    <t>BUZZER OR BELL</t>
  </si>
  <si>
    <t>MINILEC</t>
  </si>
  <si>
    <t>STANDARD</t>
  </si>
  <si>
    <t>DG INCOMER-2 FOR DG PANEL</t>
  </si>
  <si>
    <t>650A 4P 36 KA MCCB FOR APFC FEEDER</t>
  </si>
  <si>
    <t>6A DP MCB FOR SPACE HEATER</t>
  </si>
  <si>
    <t>SPARE VACANT SPACE FOR 400 AMP,  4P,,MCCB VACCANT ONLY</t>
  </si>
  <si>
    <t>MISC.</t>
  </si>
  <si>
    <t>EXTENDED ROTARY HANDLE CVS100/160/250 (LV429338_IN)</t>
  </si>
  <si>
    <t>EXTENDED ROTARY HANDLE CVS400/630</t>
  </si>
  <si>
    <t>EXTENDED ROTARY HANDLE CVS100/160/250</t>
  </si>
  <si>
    <t>1PHASE DIRECTIONAL REALY</t>
  </si>
  <si>
    <t xml:space="preserve">COPPER BUSBARS </t>
  </si>
  <si>
    <t>ESBEE</t>
  </si>
  <si>
    <t>AE/NRG</t>
  </si>
  <si>
    <t>ADD 20%</t>
  </si>
  <si>
    <t>LED INDICATION LAMP R,Y,B, 230V AC SUPPLY</t>
  </si>
  <si>
    <t>CHATGPT</t>
  </si>
  <si>
    <t>CRCA SHEET</t>
  </si>
  <si>
    <t>POLYCAB</t>
  </si>
  <si>
    <t>NALCO</t>
  </si>
  <si>
    <t>L&amp;T</t>
  </si>
  <si>
    <t>12 MFM CL.-1</t>
  </si>
  <si>
    <t>2 MFM CL.-1 RS485 PORT</t>
  </si>
  <si>
    <t>DIGITAL MFM CL.-1 (4405 SERIES)</t>
  </si>
  <si>
    <t>DIGITAL MFM CL.-1 WITH RS485 PORT (4405 SERIES)</t>
  </si>
  <si>
    <t>DIGITAL MFM CL.-1 WITH RS485 PORT  (4405 SERIES)</t>
  </si>
  <si>
    <t>C.T.650/5A,10KA,CL-1</t>
  </si>
  <si>
    <t>NIPPON/SG</t>
  </si>
  <si>
    <t>C.T.315/5A,10KA,CL-1</t>
  </si>
  <si>
    <t>C.T.250/5A,10KA,CL-1</t>
  </si>
  <si>
    <t>C.T.450/5A,10KA,CL-1</t>
  </si>
  <si>
    <t>C.T.400/5A,10KA,CL-1</t>
  </si>
  <si>
    <t>C.T.500/5A,10KA,CL-1</t>
  </si>
  <si>
    <t>C.T.630/5A,10KA,CL-1</t>
  </si>
  <si>
    <t>C.T.160/5A,10KA,CL-1</t>
  </si>
  <si>
    <t>ESBEE/TECKNIC</t>
  </si>
  <si>
    <t>630A 4P 36 KA MCCB FOR APFC FEEDER</t>
  </si>
  <si>
    <t>=</t>
  </si>
  <si>
    <t>EM STOP PUSH BUTTON</t>
  </si>
  <si>
    <t>MINILEC/GIC</t>
  </si>
  <si>
    <t>TECHNIK</t>
  </si>
  <si>
    <t>FAB</t>
  </si>
  <si>
    <t>MCCBS</t>
  </si>
  <si>
    <t>1PHASE DIRECTIONAL RELAY</t>
  </si>
  <si>
    <t>SPARE VACANT SPACE FOR 400 AMP,  4P, MCCB VACCANT ONLY</t>
  </si>
  <si>
    <t>EXTENDED ROTARY HANDLE FOR 160A 4P MCCB</t>
  </si>
  <si>
    <t>4P SPREADER PH BARRIERS FOR 160A 4P MCCB</t>
  </si>
  <si>
    <t>EXTENDED ROTARY HANDLE FOR 315A FP MCCB</t>
  </si>
  <si>
    <t>1 SET OF SPREADER FOR 315A FP MCCB</t>
  </si>
  <si>
    <t>EXTENDED ROTARY HANDLE FOR 630A FP MCCB</t>
  </si>
  <si>
    <t>1 SET OF SPREADER 4P  FOR 630A FP MCCB</t>
  </si>
  <si>
    <t>EXTENDED ROTARY HANDLE  FOR 630A FP MCCB</t>
  </si>
  <si>
    <t>EXTENDED ROTARY HANDLE FOR 4P 315A MCCB</t>
  </si>
  <si>
    <t>1 SET OF SPREADER 4P FOR 4P 315A MCCB</t>
  </si>
  <si>
    <t>EXTENDED ROTARY HANDLE FOR FP 250A MCCB</t>
  </si>
  <si>
    <t>4P SPREADER PH BARRIERS FOR FP 250A MCCB</t>
  </si>
  <si>
    <t>EXTENDED ROTARY HANDLE FOR 400A FP MCCB</t>
  </si>
  <si>
    <t>1 SET OF SPREADER 4P FOR 400A FP MCCB</t>
  </si>
  <si>
    <t>EXTENDED ROTARY HANDLE FOR 450A FP MCCB</t>
  </si>
  <si>
    <t>1 SET OF SPREADER 4PFOR 450A FP MCCB</t>
  </si>
  <si>
    <t>EXTENDED ROTARY HANDLE FOR 500A FP MCCB</t>
  </si>
  <si>
    <t>1 SET OF SPREADER 4P FOR 500A FP MCCB</t>
  </si>
  <si>
    <t>ADD 10%</t>
  </si>
  <si>
    <t>TECKNIC</t>
  </si>
  <si>
    <t>START/STOP PUSH BUTTON</t>
  </si>
  <si>
    <t>ON,OFF INDICATION LAMPS</t>
  </si>
  <si>
    <t xml:space="preserve">320A 4P 36 KA MCCB </t>
  </si>
  <si>
    <t>AE/NIPPON</t>
  </si>
  <si>
    <t>LABOUR</t>
  </si>
  <si>
    <t>Notes</t>
  </si>
  <si>
    <t>Transportation Extra</t>
  </si>
  <si>
    <t xml:space="preserve">Unloading - Not in our scope </t>
  </si>
  <si>
    <t xml:space="preserve">Loading - Included </t>
  </si>
  <si>
    <t xml:space="preserve">1600A 4P 50KA EDO ACB, Micro Base </t>
  </si>
  <si>
    <t xml:space="preserve">1000A 4P 50KA EDO ACB WITH Micro Base </t>
  </si>
  <si>
    <t xml:space="preserve">LABOUR </t>
  </si>
  <si>
    <t xml:space="preserve">All Panel- CPRI Aprroved </t>
  </si>
  <si>
    <t>ADD 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</si>
</sst>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90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0" fillId="0" borderId="0" xfId="0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3" fillId="0" borderId="1" xfId="0" applyFont="1" applyBorder="1" applyAlignment="1"/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39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/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39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/>
    <xf numFmtId="0" fontId="0" fillId="0" borderId="0" xfId="0" applyAlignment="1"/>
    <xf numFmtId="9" fontId="2" fillId="0" borderId="1" xfId="1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9" fontId="0" fillId="0" borderId="1" xfId="1" applyFon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4" fontId="0" fillId="2" borderId="1" xfId="0" applyNumberFormat="1" applyFill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2" fillId="0" borderId="2" xfId="0" applyFont="1" applyBorder="1" applyAlignment="1">
      <alignment horizontal="left"/>
    </xf>
    <xf numFmtId="14" fontId="2" fillId="0" borderId="1" xfId="0" applyNumberFormat="1" applyFont="1" applyBorder="1" applyAlignment="1">
      <alignment horizontal="left" vertical="center"/>
    </xf>
    <xf numFmtId="14" fontId="2" fillId="0" borderId="2" xfId="0" applyNumberFormat="1" applyFont="1" applyBorder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2" fillId="0" borderId="2" xfId="0" applyFont="1" applyFill="1" applyBorder="1" applyAlignment="1">
      <alignment horizontal="left"/>
    </xf>
    <xf numFmtId="14" fontId="2" fillId="0" borderId="1" xfId="0" applyNumberFormat="1" applyFont="1" applyFill="1" applyBorder="1" applyAlignment="1">
      <alignment horizontal="left" vertical="center"/>
    </xf>
    <xf numFmtId="4" fontId="0" fillId="0" borderId="0" xfId="0" applyNumberFormat="1" applyAlignment="1">
      <alignment horizontal="center"/>
    </xf>
    <xf numFmtId="0" fontId="0" fillId="0" borderId="1" xfId="0" applyBorder="1"/>
    <xf numFmtId="0" fontId="2" fillId="0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2" fillId="2" borderId="1" xfId="0" applyFont="1" applyFill="1" applyBorder="1" applyAlignment="1"/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4" fontId="2" fillId="2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9" fontId="3" fillId="0" borderId="1" xfId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0" fontId="2" fillId="0" borderId="1" xfId="0" applyFont="1" applyBorder="1"/>
    <xf numFmtId="0" fontId="2" fillId="0" borderId="0" xfId="0" applyFont="1"/>
    <xf numFmtId="0" fontId="5" fillId="0" borderId="1" xfId="0" applyFont="1" applyBorder="1" applyAlignment="1">
      <alignment horizontal="left"/>
    </xf>
    <xf numFmtId="0" fontId="5" fillId="0" borderId="1" xfId="0" applyFont="1" applyBorder="1" applyAlignment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4" fontId="0" fillId="0" borderId="0" xfId="0" applyNumberFormat="1"/>
    <xf numFmtId="0" fontId="2" fillId="0" borderId="1" xfId="0" applyFont="1" applyFill="1" applyBorder="1" applyAlignment="1"/>
    <xf numFmtId="0" fontId="2" fillId="0" borderId="1" xfId="0" applyFont="1" applyFill="1" applyBorder="1" applyAlignment="1">
      <alignment horizontal="center"/>
    </xf>
    <xf numFmtId="9" fontId="2" fillId="0" borderId="1" xfId="1" applyFont="1" applyFill="1" applyBorder="1" applyAlignment="1">
      <alignment horizontal="center"/>
    </xf>
    <xf numFmtId="4" fontId="2" fillId="0" borderId="1" xfId="0" applyNumberFormat="1" applyFont="1" applyFill="1" applyBorder="1" applyAlignment="1">
      <alignment horizontal="center"/>
    </xf>
    <xf numFmtId="39" fontId="2" fillId="0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/>
    <xf numFmtId="0" fontId="3" fillId="0" borderId="1" xfId="0" applyFont="1" applyFill="1" applyBorder="1" applyAlignment="1">
      <alignment horizontal="center"/>
    </xf>
    <xf numFmtId="9" fontId="3" fillId="0" borderId="1" xfId="1" applyFont="1" applyFill="1" applyBorder="1" applyAlignment="1">
      <alignment horizontal="center"/>
    </xf>
    <xf numFmtId="4" fontId="3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/>
    <xf numFmtId="0" fontId="5" fillId="0" borderId="1" xfId="0" applyFont="1" applyFill="1" applyBorder="1" applyAlignment="1">
      <alignment horizontal="left"/>
    </xf>
    <xf numFmtId="0" fontId="5" fillId="0" borderId="1" xfId="0" applyFont="1" applyFill="1" applyBorder="1" applyAlignment="1"/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wrapText="1"/>
    </xf>
    <xf numFmtId="14" fontId="2" fillId="0" borderId="2" xfId="0" applyNumberFormat="1" applyFont="1" applyFill="1" applyBorder="1" applyAlignment="1">
      <alignment horizontal="left" vertical="center"/>
    </xf>
    <xf numFmtId="39" fontId="3" fillId="0" borderId="1" xfId="0" applyNumberFormat="1" applyFont="1" applyFill="1" applyBorder="1" applyAlignment="1">
      <alignment horizontal="center" vertical="center"/>
    </xf>
    <xf numFmtId="4" fontId="5" fillId="0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9" fontId="0" fillId="0" borderId="0" xfId="0" applyNumberFormat="1"/>
    <xf numFmtId="39" fontId="2" fillId="0" borderId="0" xfId="0" applyNumberFormat="1" applyFont="1" applyFill="1" applyBorder="1" applyAlignment="1">
      <alignment horizontal="center" vertical="center"/>
    </xf>
    <xf numFmtId="9" fontId="2" fillId="0" borderId="0" xfId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9" fontId="2" fillId="3" borderId="1" xfId="1" applyFont="1" applyFill="1" applyBorder="1" applyAlignment="1">
      <alignment horizontal="center"/>
    </xf>
    <xf numFmtId="4" fontId="2" fillId="3" borderId="1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2" fillId="3" borderId="1" xfId="0" applyFont="1" applyFill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0"/>
  <sheetViews>
    <sheetView topLeftCell="A124" zoomScaleNormal="100" workbookViewId="0">
      <selection activeCell="H145" sqref="H145"/>
    </sheetView>
  </sheetViews>
  <sheetFormatPr defaultRowHeight="15" x14ac:dyDescent="0.25"/>
  <cols>
    <col min="1" max="1" width="3.85546875" style="10" bestFit="1" customWidth="1"/>
    <col min="2" max="2" width="58" style="14" bestFit="1" customWidth="1"/>
    <col min="3" max="3" width="15.140625" style="21" bestFit="1" customWidth="1"/>
    <col min="4" max="4" width="6" style="10" bestFit="1" customWidth="1"/>
    <col min="5" max="5" width="5.42578125" style="10" bestFit="1" customWidth="1"/>
    <col min="6" max="6" width="11.5703125" style="10" customWidth="1"/>
    <col min="7" max="7" width="12.28515625" style="10" customWidth="1"/>
    <col min="8" max="8" width="11.5703125" style="10" customWidth="1"/>
    <col min="9" max="9" width="13.28515625" style="10" customWidth="1"/>
    <col min="10" max="10" width="5.42578125" customWidth="1"/>
    <col min="11" max="11" width="3.85546875" customWidth="1"/>
    <col min="12" max="12" width="18.7109375" customWidth="1"/>
    <col min="13" max="13" width="11.28515625" bestFit="1" customWidth="1"/>
    <col min="14" max="14" width="6" bestFit="1" customWidth="1"/>
    <col min="15" max="15" width="5.42578125" bestFit="1" customWidth="1"/>
    <col min="16" max="16" width="9.140625" bestFit="1" customWidth="1"/>
    <col min="17" max="17" width="7.7109375" bestFit="1" customWidth="1"/>
  </cols>
  <sheetData>
    <row r="1" spans="1:9" x14ac:dyDescent="0.25">
      <c r="A1" s="7"/>
      <c r="B1" s="28" t="s">
        <v>7</v>
      </c>
      <c r="C1" s="8"/>
      <c r="D1" s="7"/>
      <c r="E1" s="7"/>
      <c r="F1" s="7"/>
      <c r="G1" s="7"/>
      <c r="H1" s="7"/>
      <c r="I1" s="7"/>
    </row>
    <row r="2" spans="1:9" x14ac:dyDescent="0.25">
      <c r="A2" s="6" t="s">
        <v>8</v>
      </c>
      <c r="B2" s="13" t="s">
        <v>0</v>
      </c>
      <c r="C2" s="20" t="s">
        <v>9</v>
      </c>
      <c r="D2" s="1" t="s">
        <v>20</v>
      </c>
      <c r="E2" s="6" t="s">
        <v>1</v>
      </c>
      <c r="F2" s="6" t="s">
        <v>10</v>
      </c>
      <c r="G2" s="34" t="s">
        <v>46</v>
      </c>
      <c r="H2" s="34" t="s">
        <v>47</v>
      </c>
      <c r="I2" s="1" t="s">
        <v>30</v>
      </c>
    </row>
    <row r="3" spans="1:9" x14ac:dyDescent="0.25">
      <c r="A3" s="6" t="s">
        <v>21</v>
      </c>
      <c r="B3" s="13" t="s">
        <v>29</v>
      </c>
      <c r="C3" s="20"/>
      <c r="D3" s="1"/>
      <c r="E3" s="6"/>
      <c r="F3" s="6"/>
      <c r="G3" s="6"/>
      <c r="H3" s="6"/>
      <c r="I3" s="7"/>
    </row>
    <row r="4" spans="1:9" x14ac:dyDescent="0.25">
      <c r="A4" s="7">
        <v>1</v>
      </c>
      <c r="B4" s="3" t="s">
        <v>19</v>
      </c>
      <c r="C4" s="16" t="s">
        <v>13</v>
      </c>
      <c r="D4" s="2">
        <v>1</v>
      </c>
      <c r="E4" s="2" t="s">
        <v>2</v>
      </c>
      <c r="F4" s="17">
        <v>623660</v>
      </c>
      <c r="G4" s="22">
        <v>0.68</v>
      </c>
      <c r="H4" s="23">
        <f>F4*(1-G4)</f>
        <v>199571.19999999998</v>
      </c>
      <c r="I4" s="23">
        <f>D4*H4</f>
        <v>199571.19999999998</v>
      </c>
    </row>
    <row r="5" spans="1:9" x14ac:dyDescent="0.25">
      <c r="A5" s="7">
        <v>2</v>
      </c>
      <c r="B5" s="3" t="s">
        <v>66</v>
      </c>
      <c r="C5" s="16" t="s">
        <v>63</v>
      </c>
      <c r="D5" s="2">
        <v>1</v>
      </c>
      <c r="E5" s="2" t="s">
        <v>2</v>
      </c>
      <c r="F5" s="2">
        <v>210</v>
      </c>
      <c r="G5" s="22">
        <v>0</v>
      </c>
      <c r="H5" s="23">
        <f t="shared" ref="H5:H59" si="0">F5*(1-G5)</f>
        <v>210</v>
      </c>
      <c r="I5" s="23">
        <f>D5*H5</f>
        <v>210</v>
      </c>
    </row>
    <row r="6" spans="1:9" x14ac:dyDescent="0.25">
      <c r="A6" s="7">
        <v>3</v>
      </c>
      <c r="B6" s="3" t="s">
        <v>27</v>
      </c>
      <c r="C6" s="16" t="s">
        <v>13</v>
      </c>
      <c r="D6" s="2">
        <v>4</v>
      </c>
      <c r="E6" s="2" t="s">
        <v>2</v>
      </c>
      <c r="F6" s="2">
        <v>410</v>
      </c>
      <c r="G6" s="22">
        <v>0.6</v>
      </c>
      <c r="H6" s="23">
        <f t="shared" si="0"/>
        <v>164</v>
      </c>
      <c r="I6" s="23">
        <f t="shared" ref="I6:I59" si="1">D6*H6</f>
        <v>656</v>
      </c>
    </row>
    <row r="7" spans="1:9" x14ac:dyDescent="0.25">
      <c r="A7" s="7">
        <v>5</v>
      </c>
      <c r="B7" s="3" t="s">
        <v>12</v>
      </c>
      <c r="C7" s="16" t="s">
        <v>64</v>
      </c>
      <c r="D7" s="2">
        <v>3</v>
      </c>
      <c r="E7" s="2" t="s">
        <v>2</v>
      </c>
      <c r="F7" s="2">
        <v>1200</v>
      </c>
      <c r="G7" s="22">
        <v>0</v>
      </c>
      <c r="H7" s="23">
        <f t="shared" si="0"/>
        <v>1200</v>
      </c>
      <c r="I7" s="23">
        <f t="shared" si="1"/>
        <v>3600</v>
      </c>
    </row>
    <row r="8" spans="1:9" x14ac:dyDescent="0.25">
      <c r="A8" s="7">
        <v>6</v>
      </c>
      <c r="B8" s="40" t="s">
        <v>76</v>
      </c>
      <c r="C8" s="42" t="s">
        <v>71</v>
      </c>
      <c r="D8" s="43">
        <v>1</v>
      </c>
      <c r="E8" s="43" t="s">
        <v>2</v>
      </c>
      <c r="F8" s="7">
        <v>7665</v>
      </c>
      <c r="G8" s="24">
        <v>0.35</v>
      </c>
      <c r="H8" s="26">
        <f t="shared" si="0"/>
        <v>4982.25</v>
      </c>
      <c r="I8" s="46">
        <f t="shared" si="1"/>
        <v>4982.25</v>
      </c>
    </row>
    <row r="9" spans="1:9" x14ac:dyDescent="0.25">
      <c r="A9" s="7">
        <v>8</v>
      </c>
      <c r="B9" s="38" t="s">
        <v>55</v>
      </c>
      <c r="C9" s="16" t="s">
        <v>13</v>
      </c>
      <c r="D9" s="2">
        <v>1</v>
      </c>
      <c r="E9" s="2" t="s">
        <v>2</v>
      </c>
      <c r="F9" s="7">
        <v>500</v>
      </c>
      <c r="G9" s="22">
        <v>0.6</v>
      </c>
      <c r="H9" s="25">
        <f t="shared" si="0"/>
        <v>200</v>
      </c>
      <c r="I9" s="23">
        <f t="shared" si="1"/>
        <v>200</v>
      </c>
    </row>
    <row r="10" spans="1:9" x14ac:dyDescent="0.25">
      <c r="A10" s="7">
        <v>9</v>
      </c>
      <c r="B10" s="3" t="s">
        <v>14</v>
      </c>
      <c r="C10" s="16" t="s">
        <v>5</v>
      </c>
      <c r="D10" s="2">
        <v>2</v>
      </c>
      <c r="E10" s="2" t="s">
        <v>2</v>
      </c>
      <c r="F10" s="2">
        <v>2400</v>
      </c>
      <c r="G10" s="22">
        <v>0</v>
      </c>
      <c r="H10" s="23">
        <f t="shared" si="0"/>
        <v>2400</v>
      </c>
      <c r="I10" s="23">
        <f t="shared" si="1"/>
        <v>4800</v>
      </c>
    </row>
    <row r="11" spans="1:9" x14ac:dyDescent="0.25">
      <c r="A11" s="7">
        <v>10</v>
      </c>
      <c r="B11" s="3" t="s">
        <v>15</v>
      </c>
      <c r="C11" s="16" t="s">
        <v>5</v>
      </c>
      <c r="D11" s="2">
        <v>2</v>
      </c>
      <c r="E11" s="2" t="s">
        <v>2</v>
      </c>
      <c r="F11" s="2">
        <v>100</v>
      </c>
      <c r="G11" s="22">
        <v>0</v>
      </c>
      <c r="H11" s="23">
        <f t="shared" si="0"/>
        <v>100</v>
      </c>
      <c r="I11" s="23">
        <f t="shared" si="1"/>
        <v>200</v>
      </c>
    </row>
    <row r="12" spans="1:9" x14ac:dyDescent="0.25">
      <c r="A12" s="7">
        <v>11</v>
      </c>
      <c r="B12" s="3" t="s">
        <v>16</v>
      </c>
      <c r="C12" s="16" t="s">
        <v>5</v>
      </c>
      <c r="D12" s="2">
        <v>2</v>
      </c>
      <c r="E12" s="2" t="s">
        <v>2</v>
      </c>
      <c r="F12" s="2">
        <v>750</v>
      </c>
      <c r="G12" s="22">
        <v>0</v>
      </c>
      <c r="H12" s="23">
        <f t="shared" si="0"/>
        <v>750</v>
      </c>
      <c r="I12" s="23">
        <f t="shared" si="1"/>
        <v>1500</v>
      </c>
    </row>
    <row r="13" spans="1:9" x14ac:dyDescent="0.25">
      <c r="A13" s="7">
        <v>12</v>
      </c>
      <c r="B13" s="31" t="s">
        <v>115</v>
      </c>
      <c r="C13" s="16" t="s">
        <v>63</v>
      </c>
      <c r="D13" s="2">
        <v>1</v>
      </c>
      <c r="E13" s="2" t="s">
        <v>2</v>
      </c>
      <c r="F13" s="2">
        <v>150</v>
      </c>
      <c r="G13" s="22">
        <v>0</v>
      </c>
      <c r="H13" s="23">
        <f t="shared" si="0"/>
        <v>150</v>
      </c>
      <c r="I13" s="23">
        <f t="shared" si="1"/>
        <v>150</v>
      </c>
    </row>
    <row r="14" spans="1:9" x14ac:dyDescent="0.25">
      <c r="A14" s="7">
        <v>13</v>
      </c>
      <c r="B14" s="31" t="s">
        <v>116</v>
      </c>
      <c r="C14" s="16" t="s">
        <v>63</v>
      </c>
      <c r="D14" s="2">
        <v>1</v>
      </c>
      <c r="E14" s="2" t="s">
        <v>2</v>
      </c>
      <c r="F14" s="2">
        <v>180</v>
      </c>
      <c r="G14" s="22">
        <v>0</v>
      </c>
      <c r="H14" s="23">
        <f t="shared" si="0"/>
        <v>180</v>
      </c>
      <c r="I14" s="23">
        <f t="shared" si="1"/>
        <v>180</v>
      </c>
    </row>
    <row r="15" spans="1:9" x14ac:dyDescent="0.25">
      <c r="A15" s="7">
        <v>14</v>
      </c>
      <c r="B15" s="29" t="s">
        <v>36</v>
      </c>
      <c r="C15" s="16" t="s">
        <v>13</v>
      </c>
      <c r="D15" s="2">
        <v>1</v>
      </c>
      <c r="E15" s="2" t="s">
        <v>2</v>
      </c>
      <c r="F15" s="2">
        <v>1800</v>
      </c>
      <c r="G15" s="22">
        <v>0</v>
      </c>
      <c r="H15" s="23">
        <f t="shared" si="0"/>
        <v>1800</v>
      </c>
      <c r="I15" s="23">
        <f t="shared" si="1"/>
        <v>1800</v>
      </c>
    </row>
    <row r="16" spans="1:9" x14ac:dyDescent="0.25">
      <c r="A16" s="7">
        <v>15</v>
      </c>
      <c r="B16" s="29" t="s">
        <v>35</v>
      </c>
      <c r="C16" s="16" t="s">
        <v>13</v>
      </c>
      <c r="D16" s="2">
        <v>1</v>
      </c>
      <c r="E16" s="2" t="s">
        <v>2</v>
      </c>
      <c r="F16" s="2">
        <v>557</v>
      </c>
      <c r="G16" s="22">
        <v>0</v>
      </c>
      <c r="H16" s="23">
        <f t="shared" si="0"/>
        <v>557</v>
      </c>
      <c r="I16" s="23">
        <f t="shared" si="1"/>
        <v>557</v>
      </c>
    </row>
    <row r="17" spans="1:14" x14ac:dyDescent="0.25">
      <c r="A17" s="7">
        <v>17</v>
      </c>
      <c r="B17" s="29" t="s">
        <v>50</v>
      </c>
      <c r="C17" s="39" t="s">
        <v>52</v>
      </c>
      <c r="D17" s="2">
        <v>1</v>
      </c>
      <c r="E17" s="2" t="s">
        <v>2</v>
      </c>
      <c r="F17" s="2">
        <v>800</v>
      </c>
      <c r="G17" s="22">
        <v>0</v>
      </c>
      <c r="H17" s="23">
        <f t="shared" si="0"/>
        <v>800</v>
      </c>
      <c r="I17" s="23">
        <f t="shared" si="1"/>
        <v>800</v>
      </c>
    </row>
    <row r="18" spans="1:14" x14ac:dyDescent="0.25">
      <c r="A18" s="7">
        <v>18</v>
      </c>
      <c r="B18" s="41" t="s">
        <v>61</v>
      </c>
      <c r="C18" s="39" t="s">
        <v>13</v>
      </c>
      <c r="D18" s="2">
        <v>1</v>
      </c>
      <c r="E18" s="2" t="s">
        <v>2</v>
      </c>
      <c r="F18" s="2">
        <v>2600</v>
      </c>
      <c r="G18" s="22">
        <v>0.5</v>
      </c>
      <c r="H18" s="23">
        <f t="shared" si="0"/>
        <v>1300</v>
      </c>
      <c r="I18" s="23">
        <f t="shared" si="1"/>
        <v>1300</v>
      </c>
      <c r="J18" t="s">
        <v>67</v>
      </c>
    </row>
    <row r="19" spans="1:14" x14ac:dyDescent="0.25">
      <c r="A19" s="7"/>
      <c r="B19" s="9"/>
      <c r="C19" s="8"/>
      <c r="D19" s="7"/>
      <c r="E19" s="7"/>
      <c r="F19" s="7"/>
      <c r="G19" s="24"/>
      <c r="H19" s="25"/>
      <c r="I19" s="25"/>
    </row>
    <row r="20" spans="1:14" x14ac:dyDescent="0.25">
      <c r="A20" s="6" t="s">
        <v>24</v>
      </c>
      <c r="B20" s="13" t="s">
        <v>53</v>
      </c>
      <c r="C20" s="20"/>
      <c r="D20" s="1"/>
      <c r="E20" s="6"/>
      <c r="F20" s="6"/>
      <c r="G20" s="24"/>
      <c r="H20" s="25"/>
      <c r="I20" s="25"/>
    </row>
    <row r="21" spans="1:14" x14ac:dyDescent="0.25">
      <c r="A21" s="7">
        <v>1</v>
      </c>
      <c r="B21" s="3" t="s">
        <v>25</v>
      </c>
      <c r="C21" s="16" t="s">
        <v>13</v>
      </c>
      <c r="D21" s="2">
        <v>1</v>
      </c>
      <c r="E21" s="2" t="s">
        <v>2</v>
      </c>
      <c r="F21" s="17">
        <v>523740</v>
      </c>
      <c r="G21" s="22">
        <v>0.64</v>
      </c>
      <c r="H21" s="23">
        <f t="shared" si="0"/>
        <v>188546.4</v>
      </c>
      <c r="I21" s="23">
        <f t="shared" si="1"/>
        <v>188546.4</v>
      </c>
    </row>
    <row r="22" spans="1:14" x14ac:dyDescent="0.25">
      <c r="A22" s="7">
        <v>2</v>
      </c>
      <c r="B22" s="3" t="s">
        <v>11</v>
      </c>
      <c r="C22" s="16" t="s">
        <v>63</v>
      </c>
      <c r="D22" s="2">
        <v>1</v>
      </c>
      <c r="E22" s="2" t="s">
        <v>4</v>
      </c>
      <c r="F22" s="2">
        <v>210</v>
      </c>
      <c r="G22" s="22">
        <v>0</v>
      </c>
      <c r="H22" s="23">
        <f t="shared" si="0"/>
        <v>210</v>
      </c>
      <c r="I22" s="23">
        <f t="shared" si="1"/>
        <v>210</v>
      </c>
    </row>
    <row r="23" spans="1:14" x14ac:dyDescent="0.25">
      <c r="A23" s="7">
        <v>3</v>
      </c>
      <c r="B23" s="3" t="s">
        <v>27</v>
      </c>
      <c r="C23" s="16" t="s">
        <v>13</v>
      </c>
      <c r="D23" s="2">
        <v>4</v>
      </c>
      <c r="E23" s="2" t="s">
        <v>2</v>
      </c>
      <c r="F23" s="2">
        <v>410</v>
      </c>
      <c r="G23" s="22">
        <v>0.6</v>
      </c>
      <c r="H23" s="23">
        <f t="shared" si="0"/>
        <v>164</v>
      </c>
      <c r="I23" s="23">
        <f t="shared" si="1"/>
        <v>656</v>
      </c>
    </row>
    <row r="24" spans="1:14" x14ac:dyDescent="0.25">
      <c r="A24" s="7">
        <v>5</v>
      </c>
      <c r="B24" s="3" t="s">
        <v>26</v>
      </c>
      <c r="C24" s="16" t="s">
        <v>64</v>
      </c>
      <c r="D24" s="2">
        <v>3</v>
      </c>
      <c r="E24" s="2" t="s">
        <v>2</v>
      </c>
      <c r="F24" s="2">
        <v>900</v>
      </c>
      <c r="G24" s="22">
        <v>0</v>
      </c>
      <c r="H24" s="25">
        <f t="shared" si="0"/>
        <v>900</v>
      </c>
      <c r="I24" s="23">
        <f t="shared" si="1"/>
        <v>2700</v>
      </c>
    </row>
    <row r="25" spans="1:14" x14ac:dyDescent="0.25">
      <c r="A25" s="7">
        <v>6</v>
      </c>
      <c r="B25" s="40" t="s">
        <v>75</v>
      </c>
      <c r="C25" s="42" t="s">
        <v>71</v>
      </c>
      <c r="D25" s="43">
        <v>1</v>
      </c>
      <c r="E25" s="43" t="s">
        <v>2</v>
      </c>
      <c r="F25" s="7">
        <v>7665</v>
      </c>
      <c r="G25" s="24">
        <v>0.35</v>
      </c>
      <c r="H25" s="25">
        <f t="shared" si="0"/>
        <v>4982.25</v>
      </c>
      <c r="I25" s="23">
        <f t="shared" si="1"/>
        <v>4982.25</v>
      </c>
    </row>
    <row r="26" spans="1:14" x14ac:dyDescent="0.25">
      <c r="A26" s="7">
        <v>8</v>
      </c>
      <c r="B26" s="38" t="s">
        <v>55</v>
      </c>
      <c r="C26" s="16" t="s">
        <v>13</v>
      </c>
      <c r="D26" s="2">
        <v>1</v>
      </c>
      <c r="E26" s="2" t="s">
        <v>2</v>
      </c>
      <c r="F26" s="7">
        <v>500</v>
      </c>
      <c r="G26" s="22">
        <v>0.6</v>
      </c>
      <c r="H26" s="25">
        <f t="shared" si="0"/>
        <v>200</v>
      </c>
      <c r="I26" s="23">
        <f t="shared" si="1"/>
        <v>200</v>
      </c>
    </row>
    <row r="27" spans="1:14" x14ac:dyDescent="0.25">
      <c r="A27" s="7">
        <v>9</v>
      </c>
      <c r="B27" s="3" t="s">
        <v>14</v>
      </c>
      <c r="C27" s="16" t="s">
        <v>5</v>
      </c>
      <c r="D27" s="2">
        <v>2</v>
      </c>
      <c r="E27" s="2" t="s">
        <v>2</v>
      </c>
      <c r="F27" s="2">
        <v>2400</v>
      </c>
      <c r="G27" s="22">
        <v>0</v>
      </c>
      <c r="H27" s="23">
        <f t="shared" si="0"/>
        <v>2400</v>
      </c>
      <c r="I27" s="23">
        <f t="shared" si="1"/>
        <v>4800</v>
      </c>
    </row>
    <row r="28" spans="1:14" x14ac:dyDescent="0.25">
      <c r="A28" s="7">
        <v>10</v>
      </c>
      <c r="B28" s="3" t="s">
        <v>15</v>
      </c>
      <c r="C28" s="16" t="s">
        <v>5</v>
      </c>
      <c r="D28" s="2">
        <v>2</v>
      </c>
      <c r="E28" s="2" t="s">
        <v>2</v>
      </c>
      <c r="F28" s="2">
        <v>100</v>
      </c>
      <c r="G28" s="22">
        <v>0</v>
      </c>
      <c r="H28" s="23">
        <f t="shared" si="0"/>
        <v>100</v>
      </c>
      <c r="I28" s="23">
        <f t="shared" si="1"/>
        <v>200</v>
      </c>
    </row>
    <row r="29" spans="1:14" x14ac:dyDescent="0.25">
      <c r="A29" s="7">
        <v>11</v>
      </c>
      <c r="B29" s="3" t="s">
        <v>16</v>
      </c>
      <c r="C29" s="16" t="s">
        <v>5</v>
      </c>
      <c r="D29" s="2">
        <v>2</v>
      </c>
      <c r="E29" s="2" t="s">
        <v>2</v>
      </c>
      <c r="F29" s="2">
        <v>750</v>
      </c>
      <c r="G29" s="22">
        <v>0</v>
      </c>
      <c r="H29" s="23">
        <f t="shared" si="0"/>
        <v>750</v>
      </c>
      <c r="I29" s="23">
        <f t="shared" si="1"/>
        <v>1500</v>
      </c>
      <c r="L29" t="s">
        <v>73</v>
      </c>
      <c r="M29">
        <f>6225*2</f>
        <v>12450</v>
      </c>
      <c r="N29">
        <f>4982*2</f>
        <v>9964</v>
      </c>
    </row>
    <row r="30" spans="1:14" x14ac:dyDescent="0.25">
      <c r="A30" s="7">
        <v>12</v>
      </c>
      <c r="B30" s="29" t="s">
        <v>22</v>
      </c>
      <c r="C30" s="16" t="s">
        <v>63</v>
      </c>
      <c r="D30" s="2">
        <v>1</v>
      </c>
      <c r="E30" s="2" t="s">
        <v>2</v>
      </c>
      <c r="F30" s="2">
        <v>150</v>
      </c>
      <c r="G30" s="22">
        <v>0</v>
      </c>
      <c r="H30" s="23">
        <f t="shared" si="0"/>
        <v>150</v>
      </c>
      <c r="I30" s="23">
        <f t="shared" si="1"/>
        <v>150</v>
      </c>
      <c r="L30" t="s">
        <v>72</v>
      </c>
      <c r="M30">
        <f>5900*12</f>
        <v>70800</v>
      </c>
      <c r="N30">
        <f>4413*12</f>
        <v>52956</v>
      </c>
    </row>
    <row r="31" spans="1:14" x14ac:dyDescent="0.25">
      <c r="A31" s="7">
        <v>13</v>
      </c>
      <c r="B31" s="29" t="s">
        <v>23</v>
      </c>
      <c r="C31" s="16" t="s">
        <v>63</v>
      </c>
      <c r="D31" s="2">
        <v>1</v>
      </c>
      <c r="E31" s="2" t="s">
        <v>2</v>
      </c>
      <c r="F31" s="2">
        <v>180</v>
      </c>
      <c r="G31" s="22">
        <v>0</v>
      </c>
      <c r="H31" s="23">
        <f t="shared" si="0"/>
        <v>180</v>
      </c>
      <c r="I31" s="23">
        <f t="shared" si="1"/>
        <v>180</v>
      </c>
      <c r="M31">
        <f>SUM(M29:M30)</f>
        <v>83250</v>
      </c>
      <c r="N31">
        <f>SUM(N29:N30)</f>
        <v>62920</v>
      </c>
    </row>
    <row r="32" spans="1:14" x14ac:dyDescent="0.25">
      <c r="A32" s="7">
        <v>14</v>
      </c>
      <c r="B32" s="29" t="s">
        <v>36</v>
      </c>
      <c r="C32" s="16" t="s">
        <v>13</v>
      </c>
      <c r="D32" s="2">
        <v>1</v>
      </c>
      <c r="E32" s="2" t="s">
        <v>2</v>
      </c>
      <c r="F32" s="2">
        <v>1800</v>
      </c>
      <c r="G32" s="22">
        <v>0</v>
      </c>
      <c r="H32" s="23">
        <f t="shared" si="0"/>
        <v>1800</v>
      </c>
      <c r="I32" s="23">
        <f t="shared" si="1"/>
        <v>1800</v>
      </c>
      <c r="M32">
        <v>19000</v>
      </c>
      <c r="N32">
        <v>19000</v>
      </c>
    </row>
    <row r="33" spans="1:13" x14ac:dyDescent="0.25">
      <c r="A33" s="7">
        <v>15</v>
      </c>
      <c r="B33" s="29" t="s">
        <v>35</v>
      </c>
      <c r="C33" s="16" t="s">
        <v>13</v>
      </c>
      <c r="D33" s="2">
        <v>1</v>
      </c>
      <c r="E33" s="2" t="s">
        <v>2</v>
      </c>
      <c r="F33" s="2">
        <v>557</v>
      </c>
      <c r="G33" s="22">
        <v>0</v>
      </c>
      <c r="H33" s="23">
        <f t="shared" si="0"/>
        <v>557</v>
      </c>
      <c r="I33" s="23">
        <f t="shared" si="1"/>
        <v>557</v>
      </c>
      <c r="M33">
        <f>SUM(M31:M32)</f>
        <v>102250</v>
      </c>
    </row>
    <row r="34" spans="1:13" x14ac:dyDescent="0.25">
      <c r="A34" s="7">
        <v>17</v>
      </c>
      <c r="B34" s="29" t="s">
        <v>50</v>
      </c>
      <c r="C34" s="39" t="s">
        <v>52</v>
      </c>
      <c r="D34" s="2">
        <v>1</v>
      </c>
      <c r="E34" s="2" t="s">
        <v>2</v>
      </c>
      <c r="F34" s="2">
        <v>800</v>
      </c>
      <c r="G34" s="22">
        <v>0</v>
      </c>
      <c r="H34" s="23">
        <f t="shared" si="0"/>
        <v>800</v>
      </c>
      <c r="I34" s="23">
        <f t="shared" si="1"/>
        <v>800</v>
      </c>
    </row>
    <row r="35" spans="1:13" x14ac:dyDescent="0.25">
      <c r="A35" s="7">
        <v>18</v>
      </c>
      <c r="B35" s="41" t="s">
        <v>61</v>
      </c>
      <c r="C35" s="39" t="s">
        <v>13</v>
      </c>
      <c r="D35" s="2">
        <v>1</v>
      </c>
      <c r="E35" s="2" t="s">
        <v>2</v>
      </c>
      <c r="F35" s="2">
        <v>2600</v>
      </c>
      <c r="G35" s="22">
        <v>0.5</v>
      </c>
      <c r="H35" s="23">
        <f t="shared" si="0"/>
        <v>1300</v>
      </c>
      <c r="I35" s="23">
        <f t="shared" si="1"/>
        <v>1300</v>
      </c>
      <c r="J35" t="s">
        <v>67</v>
      </c>
    </row>
    <row r="36" spans="1:13" x14ac:dyDescent="0.25">
      <c r="A36" s="7"/>
      <c r="B36" s="12"/>
      <c r="C36" s="11"/>
      <c r="D36" s="7"/>
      <c r="E36" s="7"/>
      <c r="F36" s="7"/>
      <c r="G36" s="24"/>
      <c r="H36" s="25"/>
      <c r="I36" s="25"/>
    </row>
    <row r="37" spans="1:13" x14ac:dyDescent="0.25">
      <c r="A37" s="7"/>
      <c r="B37" s="30" t="s">
        <v>17</v>
      </c>
      <c r="C37" s="8"/>
      <c r="D37" s="7"/>
      <c r="E37" s="7"/>
      <c r="F37" s="7"/>
      <c r="G37" s="24"/>
      <c r="H37" s="25"/>
      <c r="I37" s="25"/>
    </row>
    <row r="38" spans="1:13" x14ac:dyDescent="0.25">
      <c r="A38" s="7">
        <v>1</v>
      </c>
      <c r="B38" s="31" t="s">
        <v>54</v>
      </c>
      <c r="C38" s="27" t="s">
        <v>13</v>
      </c>
      <c r="D38" s="18">
        <v>1</v>
      </c>
      <c r="E38" s="2" t="s">
        <v>2</v>
      </c>
      <c r="F38" s="19">
        <v>76510</v>
      </c>
      <c r="G38" s="22">
        <v>0.6</v>
      </c>
      <c r="H38" s="23">
        <f t="shared" si="0"/>
        <v>30604</v>
      </c>
      <c r="I38" s="23">
        <f t="shared" si="1"/>
        <v>30604</v>
      </c>
    </row>
    <row r="39" spans="1:13" x14ac:dyDescent="0.25">
      <c r="A39" s="7">
        <v>2</v>
      </c>
      <c r="B39" s="3" t="s">
        <v>77</v>
      </c>
      <c r="C39" s="16" t="s">
        <v>78</v>
      </c>
      <c r="D39" s="2">
        <v>3</v>
      </c>
      <c r="E39" s="2" t="s">
        <v>2</v>
      </c>
      <c r="F39" s="2">
        <v>600</v>
      </c>
      <c r="G39" s="22">
        <v>0</v>
      </c>
      <c r="H39" s="23">
        <f t="shared" si="0"/>
        <v>600</v>
      </c>
      <c r="I39" s="23">
        <f t="shared" si="1"/>
        <v>1800</v>
      </c>
      <c r="L39">
        <v>1800</v>
      </c>
    </row>
    <row r="40" spans="1:13" x14ac:dyDescent="0.25">
      <c r="A40" s="7">
        <v>3</v>
      </c>
      <c r="B40" s="3" t="s">
        <v>27</v>
      </c>
      <c r="C40" s="16" t="s">
        <v>13</v>
      </c>
      <c r="D40" s="2">
        <v>4</v>
      </c>
      <c r="E40" s="2" t="s">
        <v>2</v>
      </c>
      <c r="F40" s="2">
        <v>410</v>
      </c>
      <c r="G40" s="22">
        <v>0.6</v>
      </c>
      <c r="H40" s="25">
        <f t="shared" si="0"/>
        <v>164</v>
      </c>
      <c r="I40" s="23">
        <f t="shared" si="1"/>
        <v>656</v>
      </c>
    </row>
    <row r="41" spans="1:13" x14ac:dyDescent="0.25">
      <c r="A41" s="7">
        <v>4</v>
      </c>
      <c r="B41" s="3" t="s">
        <v>11</v>
      </c>
      <c r="C41" s="16" t="s">
        <v>63</v>
      </c>
      <c r="D41" s="2">
        <v>1</v>
      </c>
      <c r="E41" s="2" t="s">
        <v>4</v>
      </c>
      <c r="F41" s="2">
        <v>210</v>
      </c>
      <c r="G41" s="22">
        <v>0</v>
      </c>
      <c r="H41" s="25">
        <f t="shared" si="0"/>
        <v>210</v>
      </c>
      <c r="I41" s="25">
        <f t="shared" si="1"/>
        <v>210</v>
      </c>
    </row>
    <row r="42" spans="1:13" x14ac:dyDescent="0.25">
      <c r="A42" s="7">
        <v>5</v>
      </c>
      <c r="B42" s="32" t="s">
        <v>59</v>
      </c>
      <c r="C42" s="16" t="s">
        <v>13</v>
      </c>
      <c r="D42" s="2">
        <v>1</v>
      </c>
      <c r="E42" s="2" t="s">
        <v>2</v>
      </c>
      <c r="F42" s="19">
        <v>4680</v>
      </c>
      <c r="G42" s="22">
        <v>0.53</v>
      </c>
      <c r="H42" s="25">
        <f t="shared" si="0"/>
        <v>2199.6</v>
      </c>
      <c r="I42" s="25">
        <f t="shared" si="1"/>
        <v>2199.6</v>
      </c>
    </row>
    <row r="43" spans="1:13" x14ac:dyDescent="0.25">
      <c r="A43" s="7">
        <v>6</v>
      </c>
      <c r="B43" s="32" t="s">
        <v>31</v>
      </c>
      <c r="C43" s="16" t="s">
        <v>13</v>
      </c>
      <c r="D43" s="2">
        <v>2</v>
      </c>
      <c r="E43" s="2" t="s">
        <v>2</v>
      </c>
      <c r="F43" s="19">
        <v>3290</v>
      </c>
      <c r="G43" s="22">
        <v>0.53</v>
      </c>
      <c r="H43" s="25">
        <f t="shared" si="0"/>
        <v>1546.3</v>
      </c>
      <c r="I43" s="25">
        <f t="shared" si="1"/>
        <v>3092.6</v>
      </c>
    </row>
    <row r="44" spans="1:13" x14ac:dyDescent="0.25">
      <c r="A44" s="7">
        <v>8</v>
      </c>
      <c r="B44" s="40" t="s">
        <v>74</v>
      </c>
      <c r="C44" s="42" t="s">
        <v>71</v>
      </c>
      <c r="D44" s="43">
        <v>1</v>
      </c>
      <c r="E44" s="43" t="s">
        <v>2</v>
      </c>
      <c r="F44" s="44">
        <v>6790</v>
      </c>
      <c r="G44" s="45">
        <v>0.35</v>
      </c>
      <c r="H44" s="26">
        <f t="shared" ref="H44" si="2">F44*(1-G44)</f>
        <v>4413.5</v>
      </c>
      <c r="I44" s="46">
        <f t="shared" ref="I44" si="3">D44*H44</f>
        <v>4413.5</v>
      </c>
    </row>
    <row r="45" spans="1:13" x14ac:dyDescent="0.25">
      <c r="A45" s="7"/>
      <c r="B45" s="33"/>
      <c r="C45" s="16"/>
      <c r="D45" s="2"/>
      <c r="E45" s="2"/>
      <c r="F45" s="19"/>
      <c r="G45" s="22"/>
      <c r="H45" s="25"/>
      <c r="I45" s="25"/>
    </row>
    <row r="46" spans="1:13" x14ac:dyDescent="0.25">
      <c r="A46" s="7">
        <v>1</v>
      </c>
      <c r="B46" s="31" t="s">
        <v>40</v>
      </c>
      <c r="C46" s="27" t="s">
        <v>13</v>
      </c>
      <c r="D46" s="18">
        <v>1</v>
      </c>
      <c r="E46" s="17" t="s">
        <v>2</v>
      </c>
      <c r="F46" s="19">
        <v>57610</v>
      </c>
      <c r="G46" s="22">
        <v>0.6</v>
      </c>
      <c r="H46" s="23">
        <f t="shared" si="0"/>
        <v>23044</v>
      </c>
      <c r="I46" s="23">
        <f t="shared" si="1"/>
        <v>23044</v>
      </c>
    </row>
    <row r="47" spans="1:13" x14ac:dyDescent="0.25">
      <c r="A47" s="7">
        <v>2</v>
      </c>
      <c r="B47" s="3" t="s">
        <v>79</v>
      </c>
      <c r="C47" s="16" t="s">
        <v>78</v>
      </c>
      <c r="D47" s="2">
        <v>3</v>
      </c>
      <c r="E47" s="17" t="s">
        <v>2</v>
      </c>
      <c r="F47" s="2">
        <v>600</v>
      </c>
      <c r="G47" s="22">
        <v>0</v>
      </c>
      <c r="H47" s="23">
        <f t="shared" si="0"/>
        <v>600</v>
      </c>
      <c r="I47" s="23">
        <f t="shared" si="1"/>
        <v>1800</v>
      </c>
      <c r="L47">
        <v>1800</v>
      </c>
    </row>
    <row r="48" spans="1:13" x14ac:dyDescent="0.25">
      <c r="A48" s="7">
        <v>3</v>
      </c>
      <c r="B48" s="3" t="s">
        <v>27</v>
      </c>
      <c r="C48" s="16" t="s">
        <v>13</v>
      </c>
      <c r="D48" s="2">
        <v>4</v>
      </c>
      <c r="E48" s="2" t="s">
        <v>2</v>
      </c>
      <c r="F48" s="2">
        <v>410</v>
      </c>
      <c r="G48" s="22">
        <v>0.6</v>
      </c>
      <c r="H48" s="25">
        <f t="shared" si="0"/>
        <v>164</v>
      </c>
      <c r="I48" s="23">
        <f t="shared" si="1"/>
        <v>656</v>
      </c>
    </row>
    <row r="49" spans="1:12" x14ac:dyDescent="0.25">
      <c r="A49" s="7">
        <v>4</v>
      </c>
      <c r="B49" s="3" t="s">
        <v>11</v>
      </c>
      <c r="C49" s="16" t="s">
        <v>63</v>
      </c>
      <c r="D49" s="2">
        <v>1</v>
      </c>
      <c r="E49" s="2" t="s">
        <v>4</v>
      </c>
      <c r="F49" s="2">
        <v>210</v>
      </c>
      <c r="G49" s="22">
        <v>0</v>
      </c>
      <c r="H49" s="23">
        <f t="shared" si="0"/>
        <v>210</v>
      </c>
      <c r="I49" s="23">
        <f t="shared" si="1"/>
        <v>210</v>
      </c>
    </row>
    <row r="50" spans="1:12" x14ac:dyDescent="0.25">
      <c r="A50" s="7">
        <v>5</v>
      </c>
      <c r="B50" s="32" t="s">
        <v>59</v>
      </c>
      <c r="C50" s="16" t="s">
        <v>13</v>
      </c>
      <c r="D50" s="2">
        <v>1</v>
      </c>
      <c r="E50" s="2" t="s">
        <v>2</v>
      </c>
      <c r="F50" s="19">
        <v>4680</v>
      </c>
      <c r="G50" s="22">
        <v>0.53</v>
      </c>
      <c r="H50" s="25">
        <f t="shared" si="0"/>
        <v>2199.6</v>
      </c>
      <c r="I50" s="25">
        <f t="shared" si="1"/>
        <v>2199.6</v>
      </c>
    </row>
    <row r="51" spans="1:12" x14ac:dyDescent="0.25">
      <c r="A51" s="7">
        <v>6</v>
      </c>
      <c r="B51" s="32" t="s">
        <v>31</v>
      </c>
      <c r="C51" s="16" t="s">
        <v>13</v>
      </c>
      <c r="D51" s="2">
        <v>2</v>
      </c>
      <c r="E51" s="2" t="s">
        <v>2</v>
      </c>
      <c r="F51" s="19">
        <v>3290</v>
      </c>
      <c r="G51" s="22">
        <v>0.53</v>
      </c>
      <c r="H51" s="25">
        <f t="shared" si="0"/>
        <v>1546.3</v>
      </c>
      <c r="I51" s="25">
        <f t="shared" si="1"/>
        <v>3092.6</v>
      </c>
    </row>
    <row r="52" spans="1:12" x14ac:dyDescent="0.25">
      <c r="A52" s="7">
        <v>8</v>
      </c>
      <c r="B52" s="40" t="s">
        <v>74</v>
      </c>
      <c r="C52" s="42" t="s">
        <v>71</v>
      </c>
      <c r="D52" s="43">
        <v>1</v>
      </c>
      <c r="E52" s="43" t="s">
        <v>2</v>
      </c>
      <c r="F52" s="44">
        <v>6790</v>
      </c>
      <c r="G52" s="45">
        <v>0.35</v>
      </c>
      <c r="H52" s="26">
        <f t="shared" si="0"/>
        <v>4413.5</v>
      </c>
      <c r="I52" s="46">
        <f t="shared" si="1"/>
        <v>4413.5</v>
      </c>
    </row>
    <row r="53" spans="1:12" x14ac:dyDescent="0.25">
      <c r="A53" s="7"/>
      <c r="B53" s="3"/>
      <c r="C53" s="16"/>
      <c r="D53" s="2"/>
      <c r="E53" s="2"/>
      <c r="F53" s="2"/>
      <c r="G53" s="22"/>
      <c r="H53" s="25"/>
      <c r="I53" s="25"/>
    </row>
    <row r="54" spans="1:12" x14ac:dyDescent="0.25">
      <c r="A54" s="7">
        <v>1</v>
      </c>
      <c r="B54" s="31" t="s">
        <v>39</v>
      </c>
      <c r="C54" s="27" t="s">
        <v>13</v>
      </c>
      <c r="D54" s="18">
        <v>1</v>
      </c>
      <c r="E54" s="2" t="s">
        <v>2</v>
      </c>
      <c r="F54" s="19">
        <v>76510</v>
      </c>
      <c r="G54" s="22">
        <v>0.6</v>
      </c>
      <c r="H54" s="23">
        <f t="shared" si="0"/>
        <v>30604</v>
      </c>
      <c r="I54" s="23">
        <f t="shared" si="1"/>
        <v>30604</v>
      </c>
    </row>
    <row r="55" spans="1:12" x14ac:dyDescent="0.25">
      <c r="A55" s="7">
        <v>2</v>
      </c>
      <c r="B55" s="3" t="s">
        <v>77</v>
      </c>
      <c r="C55" s="16" t="s">
        <v>78</v>
      </c>
      <c r="D55" s="2">
        <v>3</v>
      </c>
      <c r="E55" s="2" t="s">
        <v>2</v>
      </c>
      <c r="F55" s="2">
        <v>600</v>
      </c>
      <c r="G55" s="22">
        <v>0</v>
      </c>
      <c r="H55" s="23">
        <f t="shared" si="0"/>
        <v>600</v>
      </c>
      <c r="I55" s="23">
        <f t="shared" si="1"/>
        <v>1800</v>
      </c>
      <c r="L55">
        <v>1800</v>
      </c>
    </row>
    <row r="56" spans="1:12" x14ac:dyDescent="0.25">
      <c r="A56" s="7">
        <v>3</v>
      </c>
      <c r="B56" s="3" t="s">
        <v>27</v>
      </c>
      <c r="C56" s="16" t="s">
        <v>13</v>
      </c>
      <c r="D56" s="2">
        <v>4</v>
      </c>
      <c r="E56" s="2" t="s">
        <v>2</v>
      </c>
      <c r="F56" s="2">
        <v>410</v>
      </c>
      <c r="G56" s="22">
        <v>0.6</v>
      </c>
      <c r="H56" s="25">
        <f t="shared" si="0"/>
        <v>164</v>
      </c>
      <c r="I56" s="23">
        <f t="shared" si="1"/>
        <v>656</v>
      </c>
    </row>
    <row r="57" spans="1:12" x14ac:dyDescent="0.25">
      <c r="A57" s="7">
        <v>4</v>
      </c>
      <c r="B57" s="3" t="s">
        <v>11</v>
      </c>
      <c r="C57" s="16" t="s">
        <v>63</v>
      </c>
      <c r="D57" s="2">
        <v>1</v>
      </c>
      <c r="E57" s="2" t="s">
        <v>4</v>
      </c>
      <c r="F57" s="2">
        <v>210</v>
      </c>
      <c r="G57" s="22">
        <v>0</v>
      </c>
      <c r="H57" s="23">
        <f t="shared" si="0"/>
        <v>210</v>
      </c>
      <c r="I57" s="23">
        <f t="shared" si="1"/>
        <v>210</v>
      </c>
    </row>
    <row r="58" spans="1:12" x14ac:dyDescent="0.25">
      <c r="A58" s="7">
        <v>5</v>
      </c>
      <c r="B58" s="32" t="s">
        <v>59</v>
      </c>
      <c r="C58" s="16" t="s">
        <v>13</v>
      </c>
      <c r="D58" s="2">
        <v>1</v>
      </c>
      <c r="E58" s="2" t="s">
        <v>2</v>
      </c>
      <c r="F58" s="19">
        <v>4680</v>
      </c>
      <c r="G58" s="22">
        <v>0.53</v>
      </c>
      <c r="H58" s="25">
        <f t="shared" si="0"/>
        <v>2199.6</v>
      </c>
      <c r="I58" s="25">
        <f t="shared" si="1"/>
        <v>2199.6</v>
      </c>
    </row>
    <row r="59" spans="1:12" x14ac:dyDescent="0.25">
      <c r="A59" s="7">
        <v>6</v>
      </c>
      <c r="B59" s="32" t="s">
        <v>31</v>
      </c>
      <c r="C59" s="16" t="s">
        <v>13</v>
      </c>
      <c r="D59" s="2">
        <v>2</v>
      </c>
      <c r="E59" s="2" t="s">
        <v>2</v>
      </c>
      <c r="F59" s="19">
        <v>3290</v>
      </c>
      <c r="G59" s="22">
        <v>0.53</v>
      </c>
      <c r="H59" s="25">
        <f t="shared" si="0"/>
        <v>1546.3</v>
      </c>
      <c r="I59" s="25">
        <f t="shared" si="1"/>
        <v>3092.6</v>
      </c>
    </row>
    <row r="60" spans="1:12" x14ac:dyDescent="0.25">
      <c r="A60" s="7">
        <v>8</v>
      </c>
      <c r="B60" s="40" t="s">
        <v>74</v>
      </c>
      <c r="C60" s="42" t="s">
        <v>71</v>
      </c>
      <c r="D60" s="43">
        <v>1</v>
      </c>
      <c r="E60" s="43" t="s">
        <v>2</v>
      </c>
      <c r="F60" s="44">
        <v>6790</v>
      </c>
      <c r="G60" s="45">
        <v>0.35</v>
      </c>
      <c r="H60" s="26">
        <f t="shared" ref="H60" si="4">F60*(1-G60)</f>
        <v>4413.5</v>
      </c>
      <c r="I60" s="46">
        <f t="shared" ref="I60" si="5">D60*H60</f>
        <v>4413.5</v>
      </c>
    </row>
    <row r="61" spans="1:12" x14ac:dyDescent="0.25">
      <c r="A61" s="7"/>
      <c r="B61" s="31"/>
      <c r="C61" s="16"/>
      <c r="D61" s="2"/>
      <c r="E61" s="2"/>
      <c r="F61" s="19"/>
      <c r="G61" s="22"/>
      <c r="H61" s="25"/>
      <c r="I61" s="25"/>
    </row>
    <row r="62" spans="1:12" x14ac:dyDescent="0.25">
      <c r="A62" s="7">
        <v>1</v>
      </c>
      <c r="B62" s="31" t="s">
        <v>38</v>
      </c>
      <c r="C62" s="27" t="s">
        <v>13</v>
      </c>
      <c r="D62" s="18">
        <v>1</v>
      </c>
      <c r="E62" s="2" t="s">
        <v>2</v>
      </c>
      <c r="F62" s="19">
        <v>38460</v>
      </c>
      <c r="G62" s="22">
        <v>0.6</v>
      </c>
      <c r="H62" s="25">
        <f t="shared" ref="H62:H116" si="6">F62*(1-G62)</f>
        <v>15384</v>
      </c>
      <c r="I62" s="25">
        <f t="shared" ref="I62:I116" si="7">D62*H62</f>
        <v>15384</v>
      </c>
    </row>
    <row r="63" spans="1:12" x14ac:dyDescent="0.25">
      <c r="A63" s="7">
        <v>2</v>
      </c>
      <c r="B63" s="3" t="s">
        <v>80</v>
      </c>
      <c r="C63" s="16" t="s">
        <v>78</v>
      </c>
      <c r="D63" s="2">
        <v>3</v>
      </c>
      <c r="E63" s="2" t="s">
        <v>2</v>
      </c>
      <c r="F63" s="2">
        <v>600</v>
      </c>
      <c r="G63" s="22">
        <v>0</v>
      </c>
      <c r="H63" s="23">
        <f t="shared" ref="H63" si="8">F63*(1-G63)</f>
        <v>600</v>
      </c>
      <c r="I63" s="23">
        <f t="shared" ref="I63" si="9">D63*H63</f>
        <v>1800</v>
      </c>
      <c r="L63">
        <v>900</v>
      </c>
    </row>
    <row r="64" spans="1:12" x14ac:dyDescent="0.25">
      <c r="A64" s="7">
        <v>3</v>
      </c>
      <c r="B64" s="3" t="s">
        <v>27</v>
      </c>
      <c r="C64" s="16" t="s">
        <v>13</v>
      </c>
      <c r="D64" s="2">
        <v>4</v>
      </c>
      <c r="E64" s="2" t="s">
        <v>2</v>
      </c>
      <c r="F64" s="2">
        <v>410</v>
      </c>
      <c r="G64" s="22">
        <v>0.6</v>
      </c>
      <c r="H64" s="25">
        <f t="shared" si="6"/>
        <v>164</v>
      </c>
      <c r="I64" s="23">
        <f t="shared" si="7"/>
        <v>656</v>
      </c>
    </row>
    <row r="65" spans="1:12" x14ac:dyDescent="0.25">
      <c r="A65" s="7">
        <v>4</v>
      </c>
      <c r="B65" s="3" t="s">
        <v>11</v>
      </c>
      <c r="C65" s="16" t="s">
        <v>63</v>
      </c>
      <c r="D65" s="2">
        <v>1</v>
      </c>
      <c r="E65" s="2" t="s">
        <v>4</v>
      </c>
      <c r="F65" s="2">
        <v>210</v>
      </c>
      <c r="G65" s="22">
        <v>0</v>
      </c>
      <c r="H65" s="23">
        <f t="shared" si="6"/>
        <v>210</v>
      </c>
      <c r="I65" s="23">
        <f t="shared" si="7"/>
        <v>210</v>
      </c>
    </row>
    <row r="66" spans="1:12" x14ac:dyDescent="0.25">
      <c r="A66" s="7">
        <v>5</v>
      </c>
      <c r="B66" s="32" t="s">
        <v>60</v>
      </c>
      <c r="C66" s="16" t="s">
        <v>13</v>
      </c>
      <c r="D66" s="2">
        <v>1</v>
      </c>
      <c r="E66" s="2" t="s">
        <v>2</v>
      </c>
      <c r="F66" s="19">
        <v>2630</v>
      </c>
      <c r="G66" s="22">
        <v>0.53</v>
      </c>
      <c r="H66" s="25">
        <f t="shared" si="6"/>
        <v>1236.0999999999999</v>
      </c>
      <c r="I66" s="25">
        <f t="shared" si="7"/>
        <v>1236.0999999999999</v>
      </c>
    </row>
    <row r="67" spans="1:12" x14ac:dyDescent="0.25">
      <c r="A67" s="7">
        <v>6</v>
      </c>
      <c r="B67" s="32" t="s">
        <v>32</v>
      </c>
      <c r="C67" s="16" t="s">
        <v>13</v>
      </c>
      <c r="D67" s="2">
        <v>2</v>
      </c>
      <c r="E67" s="2" t="s">
        <v>2</v>
      </c>
      <c r="F67" s="19">
        <v>1300</v>
      </c>
      <c r="G67" s="22">
        <v>0.53</v>
      </c>
      <c r="H67" s="25">
        <f t="shared" si="6"/>
        <v>611</v>
      </c>
      <c r="I67" s="25">
        <f t="shared" si="7"/>
        <v>1222</v>
      </c>
    </row>
    <row r="68" spans="1:12" x14ac:dyDescent="0.25">
      <c r="A68" s="7">
        <v>8</v>
      </c>
      <c r="B68" s="40" t="s">
        <v>74</v>
      </c>
      <c r="C68" s="42" t="s">
        <v>71</v>
      </c>
      <c r="D68" s="43">
        <v>1</v>
      </c>
      <c r="E68" s="43" t="s">
        <v>2</v>
      </c>
      <c r="F68" s="44">
        <v>6790</v>
      </c>
      <c r="G68" s="45">
        <v>0.35</v>
      </c>
      <c r="H68" s="26">
        <f t="shared" si="6"/>
        <v>4413.5</v>
      </c>
      <c r="I68" s="46">
        <f t="shared" si="7"/>
        <v>4413.5</v>
      </c>
    </row>
    <row r="69" spans="1:12" x14ac:dyDescent="0.25">
      <c r="A69" s="7"/>
      <c r="B69" s="31"/>
      <c r="C69" s="16"/>
      <c r="D69" s="2"/>
      <c r="E69" s="2"/>
      <c r="F69" s="19"/>
      <c r="G69" s="22"/>
      <c r="H69" s="25"/>
      <c r="I69" s="25"/>
    </row>
    <row r="70" spans="1:12" x14ac:dyDescent="0.25">
      <c r="A70" s="7">
        <v>1</v>
      </c>
      <c r="B70" s="31" t="s">
        <v>38</v>
      </c>
      <c r="C70" s="27" t="s">
        <v>13</v>
      </c>
      <c r="D70" s="18">
        <v>1</v>
      </c>
      <c r="E70" s="2" t="s">
        <v>2</v>
      </c>
      <c r="F70" s="19">
        <v>38460</v>
      </c>
      <c r="G70" s="22">
        <v>0.6</v>
      </c>
      <c r="H70" s="25">
        <f t="shared" si="6"/>
        <v>15384</v>
      </c>
      <c r="I70" s="25">
        <f t="shared" si="7"/>
        <v>15384</v>
      </c>
    </row>
    <row r="71" spans="1:12" x14ac:dyDescent="0.25">
      <c r="A71" s="7">
        <v>2</v>
      </c>
      <c r="B71" s="3" t="s">
        <v>80</v>
      </c>
      <c r="C71" s="16" t="s">
        <v>78</v>
      </c>
      <c r="D71" s="2">
        <v>3</v>
      </c>
      <c r="E71" s="2" t="s">
        <v>2</v>
      </c>
      <c r="F71" s="2">
        <v>600</v>
      </c>
      <c r="G71" s="22">
        <v>0</v>
      </c>
      <c r="H71" s="23">
        <f t="shared" si="6"/>
        <v>600</v>
      </c>
      <c r="I71" s="23">
        <f t="shared" si="7"/>
        <v>1800</v>
      </c>
      <c r="L71">
        <v>900</v>
      </c>
    </row>
    <row r="72" spans="1:12" x14ac:dyDescent="0.25">
      <c r="A72" s="7">
        <v>3</v>
      </c>
      <c r="B72" s="3" t="s">
        <v>27</v>
      </c>
      <c r="C72" s="16" t="s">
        <v>13</v>
      </c>
      <c r="D72" s="2">
        <v>4</v>
      </c>
      <c r="E72" s="2" t="s">
        <v>2</v>
      </c>
      <c r="F72" s="2">
        <v>410</v>
      </c>
      <c r="G72" s="22">
        <v>0.6</v>
      </c>
      <c r="H72" s="23">
        <f t="shared" si="6"/>
        <v>164</v>
      </c>
      <c r="I72" s="23">
        <f t="shared" si="7"/>
        <v>656</v>
      </c>
    </row>
    <row r="73" spans="1:12" x14ac:dyDescent="0.25">
      <c r="A73" s="7">
        <v>4</v>
      </c>
      <c r="B73" s="3" t="s">
        <v>11</v>
      </c>
      <c r="C73" s="16" t="s">
        <v>63</v>
      </c>
      <c r="D73" s="2">
        <v>1</v>
      </c>
      <c r="E73" s="2" t="s">
        <v>4</v>
      </c>
      <c r="F73" s="2">
        <v>210</v>
      </c>
      <c r="G73" s="22">
        <v>0</v>
      </c>
      <c r="H73" s="23">
        <f t="shared" si="6"/>
        <v>210</v>
      </c>
      <c r="I73" s="23">
        <f t="shared" si="7"/>
        <v>210</v>
      </c>
    </row>
    <row r="74" spans="1:12" x14ac:dyDescent="0.25">
      <c r="A74" s="7">
        <v>5</v>
      </c>
      <c r="B74" s="32" t="s">
        <v>58</v>
      </c>
      <c r="C74" s="16" t="s">
        <v>13</v>
      </c>
      <c r="D74" s="2">
        <v>1</v>
      </c>
      <c r="E74" s="2" t="s">
        <v>2</v>
      </c>
      <c r="F74" s="19">
        <v>2630</v>
      </c>
      <c r="G74" s="22">
        <v>0.53</v>
      </c>
      <c r="H74" s="23">
        <f t="shared" si="6"/>
        <v>1236.0999999999999</v>
      </c>
      <c r="I74" s="25">
        <f t="shared" si="7"/>
        <v>1236.0999999999999</v>
      </c>
      <c r="L74" s="5"/>
    </row>
    <row r="75" spans="1:12" x14ac:dyDescent="0.25">
      <c r="A75" s="7">
        <v>6</v>
      </c>
      <c r="B75" s="32" t="s">
        <v>33</v>
      </c>
      <c r="C75" s="16" t="s">
        <v>13</v>
      </c>
      <c r="D75" s="2">
        <v>2</v>
      </c>
      <c r="E75" s="2" t="s">
        <v>2</v>
      </c>
      <c r="F75" s="19">
        <v>1300</v>
      </c>
      <c r="G75" s="22">
        <v>0.53</v>
      </c>
      <c r="H75" s="23">
        <f t="shared" si="6"/>
        <v>611</v>
      </c>
      <c r="I75" s="25">
        <f t="shared" si="7"/>
        <v>1222</v>
      </c>
      <c r="L75" s="5"/>
    </row>
    <row r="76" spans="1:12" x14ac:dyDescent="0.25">
      <c r="A76" s="7">
        <v>8</v>
      </c>
      <c r="B76" s="40" t="s">
        <v>74</v>
      </c>
      <c r="C76" s="42" t="s">
        <v>71</v>
      </c>
      <c r="D76" s="43">
        <v>1</v>
      </c>
      <c r="E76" s="43" t="s">
        <v>2</v>
      </c>
      <c r="F76" s="44">
        <v>6790</v>
      </c>
      <c r="G76" s="45">
        <v>0.35</v>
      </c>
      <c r="H76" s="26">
        <f t="shared" ref="H76" si="10">F76*(1-G76)</f>
        <v>4413.5</v>
      </c>
      <c r="I76" s="46">
        <f t="shared" ref="I76" si="11">D76*H76</f>
        <v>4413.5</v>
      </c>
    </row>
    <row r="77" spans="1:12" x14ac:dyDescent="0.25">
      <c r="A77" s="7"/>
      <c r="B77" s="3"/>
      <c r="C77" s="16"/>
      <c r="D77" s="2"/>
      <c r="E77" s="2"/>
      <c r="F77" s="2"/>
      <c r="G77" s="22"/>
      <c r="H77" s="23"/>
      <c r="I77" s="25"/>
    </row>
    <row r="78" spans="1:12" x14ac:dyDescent="0.25">
      <c r="A78" s="7">
        <v>1</v>
      </c>
      <c r="B78" s="31" t="s">
        <v>41</v>
      </c>
      <c r="C78" s="27" t="s">
        <v>13</v>
      </c>
      <c r="D78" s="18">
        <v>1</v>
      </c>
      <c r="E78" s="2" t="s">
        <v>2</v>
      </c>
      <c r="F78" s="19">
        <v>67050</v>
      </c>
      <c r="G78" s="22">
        <v>0.6</v>
      </c>
      <c r="H78" s="23">
        <f t="shared" si="6"/>
        <v>26820</v>
      </c>
      <c r="I78" s="25">
        <f t="shared" si="7"/>
        <v>26820</v>
      </c>
    </row>
    <row r="79" spans="1:12" x14ac:dyDescent="0.25">
      <c r="A79" s="7">
        <v>2</v>
      </c>
      <c r="B79" s="3" t="s">
        <v>81</v>
      </c>
      <c r="C79" s="16" t="s">
        <v>78</v>
      </c>
      <c r="D79" s="2">
        <v>3</v>
      </c>
      <c r="E79" s="2" t="s">
        <v>2</v>
      </c>
      <c r="F79" s="2">
        <v>600</v>
      </c>
      <c r="G79" s="22">
        <v>0</v>
      </c>
      <c r="H79" s="23">
        <f t="shared" si="6"/>
        <v>600</v>
      </c>
      <c r="I79" s="23">
        <f t="shared" si="7"/>
        <v>1800</v>
      </c>
      <c r="L79">
        <v>1800</v>
      </c>
    </row>
    <row r="80" spans="1:12" x14ac:dyDescent="0.25">
      <c r="A80" s="7">
        <v>3</v>
      </c>
      <c r="B80" s="3" t="s">
        <v>27</v>
      </c>
      <c r="C80" s="16" t="s">
        <v>13</v>
      </c>
      <c r="D80" s="2">
        <v>4</v>
      </c>
      <c r="E80" s="2" t="s">
        <v>2</v>
      </c>
      <c r="F80" s="2">
        <v>410</v>
      </c>
      <c r="G80" s="22">
        <v>0.6</v>
      </c>
      <c r="H80" s="23">
        <f t="shared" si="6"/>
        <v>164</v>
      </c>
      <c r="I80" s="23">
        <f t="shared" si="7"/>
        <v>656</v>
      </c>
    </row>
    <row r="81" spans="1:12" x14ac:dyDescent="0.25">
      <c r="A81" s="7">
        <v>4</v>
      </c>
      <c r="B81" s="3" t="s">
        <v>11</v>
      </c>
      <c r="C81" s="16" t="s">
        <v>63</v>
      </c>
      <c r="D81" s="2">
        <v>1</v>
      </c>
      <c r="E81" s="2" t="s">
        <v>4</v>
      </c>
      <c r="F81" s="2">
        <v>210</v>
      </c>
      <c r="G81" s="22">
        <v>0</v>
      </c>
      <c r="H81" s="23">
        <f t="shared" si="6"/>
        <v>210</v>
      </c>
      <c r="I81" s="23">
        <f t="shared" si="7"/>
        <v>210</v>
      </c>
    </row>
    <row r="82" spans="1:12" x14ac:dyDescent="0.25">
      <c r="A82" s="7">
        <v>5</v>
      </c>
      <c r="B82" s="32" t="s">
        <v>59</v>
      </c>
      <c r="C82" s="16" t="s">
        <v>13</v>
      </c>
      <c r="D82" s="2">
        <v>1</v>
      </c>
      <c r="E82" s="2" t="s">
        <v>2</v>
      </c>
      <c r="F82" s="19">
        <v>4680</v>
      </c>
      <c r="G82" s="22">
        <v>0.53</v>
      </c>
      <c r="H82" s="23">
        <f t="shared" si="6"/>
        <v>2199.6</v>
      </c>
      <c r="I82" s="25">
        <f t="shared" si="7"/>
        <v>2199.6</v>
      </c>
    </row>
    <row r="83" spans="1:12" x14ac:dyDescent="0.25">
      <c r="A83" s="7">
        <v>6</v>
      </c>
      <c r="B83" s="32" t="s">
        <v>31</v>
      </c>
      <c r="C83" s="16" t="s">
        <v>13</v>
      </c>
      <c r="D83" s="2">
        <v>2</v>
      </c>
      <c r="E83" s="2" t="s">
        <v>2</v>
      </c>
      <c r="F83" s="19">
        <v>3290</v>
      </c>
      <c r="G83" s="22">
        <v>0.53</v>
      </c>
      <c r="H83" s="23">
        <f t="shared" si="6"/>
        <v>1546.3</v>
      </c>
      <c r="I83" s="25">
        <f t="shared" si="7"/>
        <v>3092.6</v>
      </c>
    </row>
    <row r="84" spans="1:12" x14ac:dyDescent="0.25">
      <c r="A84" s="7">
        <v>8</v>
      </c>
      <c r="B84" s="40" t="s">
        <v>74</v>
      </c>
      <c r="C84" s="42" t="s">
        <v>71</v>
      </c>
      <c r="D84" s="43">
        <v>1</v>
      </c>
      <c r="E84" s="43" t="s">
        <v>2</v>
      </c>
      <c r="F84" s="44">
        <v>6790</v>
      </c>
      <c r="G84" s="45">
        <v>0.35</v>
      </c>
      <c r="H84" s="26">
        <f t="shared" si="6"/>
        <v>4413.5</v>
      </c>
      <c r="I84" s="46">
        <f t="shared" si="7"/>
        <v>4413.5</v>
      </c>
    </row>
    <row r="85" spans="1:12" x14ac:dyDescent="0.25">
      <c r="A85" s="7"/>
      <c r="B85" s="3"/>
      <c r="C85" s="16"/>
      <c r="D85" s="2"/>
      <c r="E85" s="2"/>
      <c r="F85" s="2"/>
      <c r="G85" s="22"/>
      <c r="H85" s="23"/>
      <c r="I85" s="25"/>
    </row>
    <row r="86" spans="1:12" x14ac:dyDescent="0.25">
      <c r="A86" s="7">
        <v>1</v>
      </c>
      <c r="B86" s="31" t="s">
        <v>41</v>
      </c>
      <c r="C86" s="27" t="s">
        <v>13</v>
      </c>
      <c r="D86" s="18">
        <v>1</v>
      </c>
      <c r="E86" s="2" t="s">
        <v>2</v>
      </c>
      <c r="F86" s="19">
        <v>67050</v>
      </c>
      <c r="G86" s="22">
        <v>0.6</v>
      </c>
      <c r="H86" s="23">
        <f t="shared" si="6"/>
        <v>26820</v>
      </c>
      <c r="I86" s="25">
        <f t="shared" si="7"/>
        <v>26820</v>
      </c>
    </row>
    <row r="87" spans="1:12" x14ac:dyDescent="0.25">
      <c r="A87" s="7">
        <v>2</v>
      </c>
      <c r="B87" s="3" t="s">
        <v>81</v>
      </c>
      <c r="C87" s="16" t="s">
        <v>78</v>
      </c>
      <c r="D87" s="2">
        <v>3</v>
      </c>
      <c r="E87" s="2" t="s">
        <v>2</v>
      </c>
      <c r="F87" s="2">
        <v>600</v>
      </c>
      <c r="G87" s="22">
        <v>0</v>
      </c>
      <c r="H87" s="23">
        <f t="shared" si="6"/>
        <v>600</v>
      </c>
      <c r="I87" s="23">
        <f t="shared" si="7"/>
        <v>1800</v>
      </c>
      <c r="L87">
        <v>1800</v>
      </c>
    </row>
    <row r="88" spans="1:12" x14ac:dyDescent="0.25">
      <c r="A88" s="7">
        <v>3</v>
      </c>
      <c r="B88" s="4" t="s">
        <v>27</v>
      </c>
      <c r="C88" s="16" t="s">
        <v>13</v>
      </c>
      <c r="D88" s="2">
        <v>4</v>
      </c>
      <c r="E88" s="2" t="s">
        <v>2</v>
      </c>
      <c r="F88" s="2">
        <v>410</v>
      </c>
      <c r="G88" s="22">
        <v>0.6</v>
      </c>
      <c r="H88" s="23">
        <f t="shared" si="6"/>
        <v>164</v>
      </c>
      <c r="I88" s="23">
        <f t="shared" si="7"/>
        <v>656</v>
      </c>
    </row>
    <row r="89" spans="1:12" x14ac:dyDescent="0.25">
      <c r="A89" s="7">
        <v>4</v>
      </c>
      <c r="B89" s="4" t="s">
        <v>11</v>
      </c>
      <c r="C89" s="16" t="s">
        <v>63</v>
      </c>
      <c r="D89" s="2">
        <v>1</v>
      </c>
      <c r="E89" s="2" t="s">
        <v>4</v>
      </c>
      <c r="F89" s="2">
        <v>210</v>
      </c>
      <c r="G89" s="22">
        <v>0</v>
      </c>
      <c r="H89" s="23">
        <f t="shared" si="6"/>
        <v>210</v>
      </c>
      <c r="I89" s="23">
        <f t="shared" si="7"/>
        <v>210</v>
      </c>
    </row>
    <row r="90" spans="1:12" x14ac:dyDescent="0.25">
      <c r="A90" s="7">
        <v>5</v>
      </c>
      <c r="B90" s="36" t="s">
        <v>59</v>
      </c>
      <c r="C90" s="16" t="s">
        <v>13</v>
      </c>
      <c r="D90" s="2">
        <v>1</v>
      </c>
      <c r="E90" s="2" t="s">
        <v>2</v>
      </c>
      <c r="F90" s="19">
        <v>4680</v>
      </c>
      <c r="G90" s="22">
        <v>0.53</v>
      </c>
      <c r="H90" s="23">
        <f t="shared" si="6"/>
        <v>2199.6</v>
      </c>
      <c r="I90" s="25">
        <f t="shared" si="7"/>
        <v>2199.6</v>
      </c>
    </row>
    <row r="91" spans="1:12" x14ac:dyDescent="0.25">
      <c r="A91" s="7">
        <v>6</v>
      </c>
      <c r="B91" s="36" t="s">
        <v>31</v>
      </c>
      <c r="C91" s="16" t="s">
        <v>13</v>
      </c>
      <c r="D91" s="2">
        <v>2</v>
      </c>
      <c r="E91" s="2" t="s">
        <v>2</v>
      </c>
      <c r="F91" s="19">
        <v>3290</v>
      </c>
      <c r="G91" s="22">
        <v>0.53</v>
      </c>
      <c r="H91" s="23">
        <f t="shared" si="6"/>
        <v>1546.3</v>
      </c>
      <c r="I91" s="25">
        <f t="shared" si="7"/>
        <v>3092.6</v>
      </c>
    </row>
    <row r="92" spans="1:12" x14ac:dyDescent="0.25">
      <c r="A92" s="7">
        <v>8</v>
      </c>
      <c r="B92" s="40" t="s">
        <v>74</v>
      </c>
      <c r="C92" s="42" t="s">
        <v>71</v>
      </c>
      <c r="D92" s="43">
        <v>1</v>
      </c>
      <c r="E92" s="43" t="s">
        <v>2</v>
      </c>
      <c r="F92" s="44">
        <v>6790</v>
      </c>
      <c r="G92" s="45">
        <v>0.35</v>
      </c>
      <c r="H92" s="26">
        <f t="shared" ref="H92" si="12">F92*(1-G92)</f>
        <v>4413.5</v>
      </c>
      <c r="I92" s="46">
        <f t="shared" ref="I92" si="13">D92*H92</f>
        <v>4413.5</v>
      </c>
    </row>
    <row r="93" spans="1:12" x14ac:dyDescent="0.25">
      <c r="A93" s="7"/>
      <c r="B93" s="4"/>
      <c r="C93" s="16"/>
      <c r="D93" s="2"/>
      <c r="E93" s="2"/>
      <c r="F93" s="2"/>
      <c r="G93" s="24"/>
      <c r="H93" s="25"/>
      <c r="I93" s="25"/>
    </row>
    <row r="94" spans="1:12" x14ac:dyDescent="0.25">
      <c r="A94" s="7">
        <v>1</v>
      </c>
      <c r="B94" s="35" t="s">
        <v>42</v>
      </c>
      <c r="C94" s="27" t="s">
        <v>13</v>
      </c>
      <c r="D94" s="18">
        <v>1</v>
      </c>
      <c r="E94" s="2" t="s">
        <v>2</v>
      </c>
      <c r="F94" s="19">
        <v>58120</v>
      </c>
      <c r="G94" s="24">
        <v>0.6</v>
      </c>
      <c r="H94" s="25">
        <f t="shared" si="6"/>
        <v>23248</v>
      </c>
      <c r="I94" s="25">
        <f t="shared" si="7"/>
        <v>23248</v>
      </c>
    </row>
    <row r="95" spans="1:12" x14ac:dyDescent="0.25">
      <c r="A95" s="7">
        <v>2</v>
      </c>
      <c r="B95" s="4" t="s">
        <v>82</v>
      </c>
      <c r="C95" s="16" t="s">
        <v>78</v>
      </c>
      <c r="D95" s="2">
        <v>3</v>
      </c>
      <c r="E95" s="2" t="s">
        <v>2</v>
      </c>
      <c r="F95" s="2">
        <v>600</v>
      </c>
      <c r="G95" s="22">
        <v>0</v>
      </c>
      <c r="H95" s="23">
        <f t="shared" si="6"/>
        <v>600</v>
      </c>
      <c r="I95" s="23">
        <f t="shared" si="7"/>
        <v>1800</v>
      </c>
      <c r="L95">
        <v>1800</v>
      </c>
    </row>
    <row r="96" spans="1:12" x14ac:dyDescent="0.25">
      <c r="A96" s="7">
        <v>3</v>
      </c>
      <c r="B96" s="4" t="s">
        <v>27</v>
      </c>
      <c r="C96" s="16" t="s">
        <v>13</v>
      </c>
      <c r="D96" s="2">
        <v>4</v>
      </c>
      <c r="E96" s="2" t="s">
        <v>2</v>
      </c>
      <c r="F96" s="2">
        <v>410</v>
      </c>
      <c r="G96" s="22">
        <v>0.6</v>
      </c>
      <c r="H96" s="23">
        <f t="shared" si="6"/>
        <v>164</v>
      </c>
      <c r="I96" s="23">
        <f t="shared" si="7"/>
        <v>656</v>
      </c>
    </row>
    <row r="97" spans="1:12" x14ac:dyDescent="0.25">
      <c r="A97" s="7">
        <v>4</v>
      </c>
      <c r="B97" s="4" t="s">
        <v>11</v>
      </c>
      <c r="C97" s="16" t="s">
        <v>63</v>
      </c>
      <c r="D97" s="2">
        <v>1</v>
      </c>
      <c r="E97" s="2" t="s">
        <v>4</v>
      </c>
      <c r="F97" s="2">
        <v>210</v>
      </c>
      <c r="G97" s="22">
        <v>0</v>
      </c>
      <c r="H97" s="23">
        <f t="shared" si="6"/>
        <v>210</v>
      </c>
      <c r="I97" s="23">
        <f t="shared" si="7"/>
        <v>210</v>
      </c>
    </row>
    <row r="98" spans="1:12" x14ac:dyDescent="0.25">
      <c r="A98" s="7">
        <v>5</v>
      </c>
      <c r="B98" s="36" t="s">
        <v>59</v>
      </c>
      <c r="C98" s="16" t="s">
        <v>13</v>
      </c>
      <c r="D98" s="2">
        <v>1</v>
      </c>
      <c r="E98" s="2" t="s">
        <v>2</v>
      </c>
      <c r="F98" s="19">
        <v>4680</v>
      </c>
      <c r="G98" s="22">
        <v>0.53</v>
      </c>
      <c r="H98" s="23">
        <f t="shared" si="6"/>
        <v>2199.6</v>
      </c>
      <c r="I98" s="25">
        <f t="shared" si="7"/>
        <v>2199.6</v>
      </c>
    </row>
    <row r="99" spans="1:12" x14ac:dyDescent="0.25">
      <c r="A99" s="7">
        <v>6</v>
      </c>
      <c r="B99" s="36" t="s">
        <v>31</v>
      </c>
      <c r="C99" s="16" t="s">
        <v>13</v>
      </c>
      <c r="D99" s="2">
        <v>2</v>
      </c>
      <c r="E99" s="2" t="s">
        <v>2</v>
      </c>
      <c r="F99" s="19">
        <v>3290</v>
      </c>
      <c r="G99" s="22">
        <v>0.53</v>
      </c>
      <c r="H99" s="23">
        <f t="shared" si="6"/>
        <v>1546.3</v>
      </c>
      <c r="I99" s="25">
        <f t="shared" si="7"/>
        <v>3092.6</v>
      </c>
    </row>
    <row r="100" spans="1:12" x14ac:dyDescent="0.25">
      <c r="A100" s="7">
        <v>8</v>
      </c>
      <c r="B100" s="40" t="s">
        <v>74</v>
      </c>
      <c r="C100" s="42" t="s">
        <v>71</v>
      </c>
      <c r="D100" s="43">
        <v>1</v>
      </c>
      <c r="E100" s="43" t="s">
        <v>2</v>
      </c>
      <c r="F100" s="44">
        <v>6790</v>
      </c>
      <c r="G100" s="45">
        <v>0.35</v>
      </c>
      <c r="H100" s="26">
        <f t="shared" si="6"/>
        <v>4413.5</v>
      </c>
      <c r="I100" s="46">
        <f t="shared" si="7"/>
        <v>4413.5</v>
      </c>
    </row>
    <row r="101" spans="1:12" x14ac:dyDescent="0.25">
      <c r="A101" s="7"/>
      <c r="B101" s="4"/>
      <c r="C101" s="16"/>
      <c r="D101" s="2"/>
      <c r="E101" s="2"/>
      <c r="F101" s="2"/>
      <c r="G101" s="22"/>
      <c r="H101" s="23"/>
      <c r="I101" s="25"/>
    </row>
    <row r="102" spans="1:12" x14ac:dyDescent="0.25">
      <c r="A102" s="7">
        <v>1</v>
      </c>
      <c r="B102" s="35" t="s">
        <v>43</v>
      </c>
      <c r="C102" s="27" t="s">
        <v>13</v>
      </c>
      <c r="D102" s="18">
        <v>1</v>
      </c>
      <c r="E102" s="2" t="s">
        <v>2</v>
      </c>
      <c r="F102" s="19">
        <v>67050</v>
      </c>
      <c r="G102" s="22">
        <v>0.6</v>
      </c>
      <c r="H102" s="23">
        <f t="shared" si="6"/>
        <v>26820</v>
      </c>
      <c r="I102" s="25">
        <f t="shared" si="7"/>
        <v>26820</v>
      </c>
    </row>
    <row r="103" spans="1:12" x14ac:dyDescent="0.25">
      <c r="A103" s="7">
        <v>2</v>
      </c>
      <c r="B103" s="4" t="s">
        <v>83</v>
      </c>
      <c r="C103" s="16" t="s">
        <v>78</v>
      </c>
      <c r="D103" s="2">
        <v>3</v>
      </c>
      <c r="E103" s="2" t="s">
        <v>2</v>
      </c>
      <c r="F103" s="2">
        <v>600</v>
      </c>
      <c r="G103" s="22">
        <v>0</v>
      </c>
      <c r="H103" s="23">
        <f t="shared" si="6"/>
        <v>600</v>
      </c>
      <c r="I103" s="23">
        <f t="shared" si="7"/>
        <v>1800</v>
      </c>
      <c r="L103">
        <v>1800</v>
      </c>
    </row>
    <row r="104" spans="1:12" x14ac:dyDescent="0.25">
      <c r="A104" s="7">
        <v>3</v>
      </c>
      <c r="B104" s="4" t="s">
        <v>27</v>
      </c>
      <c r="C104" s="16" t="s">
        <v>13</v>
      </c>
      <c r="D104" s="2">
        <v>4</v>
      </c>
      <c r="E104" s="2" t="s">
        <v>2</v>
      </c>
      <c r="F104" s="2">
        <v>410</v>
      </c>
      <c r="G104" s="22">
        <v>0.6</v>
      </c>
      <c r="H104" s="23">
        <f t="shared" si="6"/>
        <v>164</v>
      </c>
      <c r="I104" s="23">
        <f t="shared" si="7"/>
        <v>656</v>
      </c>
    </row>
    <row r="105" spans="1:12" x14ac:dyDescent="0.25">
      <c r="A105" s="7">
        <v>4</v>
      </c>
      <c r="B105" s="4" t="s">
        <v>11</v>
      </c>
      <c r="C105" s="16" t="s">
        <v>63</v>
      </c>
      <c r="D105" s="2">
        <v>1</v>
      </c>
      <c r="E105" s="2" t="s">
        <v>4</v>
      </c>
      <c r="F105" s="2">
        <v>210</v>
      </c>
      <c r="G105" s="22">
        <v>0</v>
      </c>
      <c r="H105" s="23">
        <f t="shared" si="6"/>
        <v>210</v>
      </c>
      <c r="I105" s="23">
        <f t="shared" si="7"/>
        <v>210</v>
      </c>
    </row>
    <row r="106" spans="1:12" x14ac:dyDescent="0.25">
      <c r="A106" s="7">
        <v>5</v>
      </c>
      <c r="B106" s="36" t="s">
        <v>59</v>
      </c>
      <c r="C106" s="16" t="s">
        <v>13</v>
      </c>
      <c r="D106" s="2">
        <v>1</v>
      </c>
      <c r="E106" s="2" t="s">
        <v>2</v>
      </c>
      <c r="F106" s="19">
        <v>4680</v>
      </c>
      <c r="G106" s="22">
        <v>0.53</v>
      </c>
      <c r="H106" s="23">
        <f t="shared" si="6"/>
        <v>2199.6</v>
      </c>
      <c r="I106" s="25">
        <f t="shared" si="7"/>
        <v>2199.6</v>
      </c>
    </row>
    <row r="107" spans="1:12" x14ac:dyDescent="0.25">
      <c r="A107" s="7">
        <v>6</v>
      </c>
      <c r="B107" s="36" t="s">
        <v>31</v>
      </c>
      <c r="C107" s="16" t="s">
        <v>13</v>
      </c>
      <c r="D107" s="2">
        <v>2</v>
      </c>
      <c r="E107" s="2" t="s">
        <v>2</v>
      </c>
      <c r="F107" s="19">
        <v>3290</v>
      </c>
      <c r="G107" s="22">
        <v>0.53</v>
      </c>
      <c r="H107" s="23">
        <f t="shared" si="6"/>
        <v>1546.3</v>
      </c>
      <c r="I107" s="25">
        <f t="shared" si="7"/>
        <v>3092.6</v>
      </c>
    </row>
    <row r="108" spans="1:12" x14ac:dyDescent="0.25">
      <c r="A108" s="7">
        <v>8</v>
      </c>
      <c r="B108" s="40" t="s">
        <v>74</v>
      </c>
      <c r="C108" s="42" t="s">
        <v>71</v>
      </c>
      <c r="D108" s="43">
        <v>1</v>
      </c>
      <c r="E108" s="43" t="s">
        <v>2</v>
      </c>
      <c r="F108" s="44">
        <v>6790</v>
      </c>
      <c r="G108" s="45">
        <v>0.35</v>
      </c>
      <c r="H108" s="26">
        <f t="shared" ref="H108" si="14">F108*(1-G108)</f>
        <v>4413.5</v>
      </c>
      <c r="I108" s="46">
        <f t="shared" ref="I108" si="15">D108*H108</f>
        <v>4413.5</v>
      </c>
    </row>
    <row r="109" spans="1:12" x14ac:dyDescent="0.25">
      <c r="A109" s="7"/>
      <c r="B109" s="4"/>
      <c r="C109" s="16"/>
      <c r="D109" s="2"/>
      <c r="E109" s="2"/>
      <c r="F109" s="2"/>
      <c r="G109" s="22"/>
      <c r="H109" s="23"/>
      <c r="I109" s="25"/>
    </row>
    <row r="110" spans="1:12" x14ac:dyDescent="0.25">
      <c r="A110" s="7">
        <v>1</v>
      </c>
      <c r="B110" s="35" t="s">
        <v>44</v>
      </c>
      <c r="C110" s="27" t="s">
        <v>13</v>
      </c>
      <c r="D110" s="18">
        <v>1</v>
      </c>
      <c r="E110" s="2" t="s">
        <v>2</v>
      </c>
      <c r="F110" s="19">
        <v>76510</v>
      </c>
      <c r="G110" s="22">
        <v>0.6</v>
      </c>
      <c r="H110" s="23">
        <f t="shared" si="6"/>
        <v>30604</v>
      </c>
      <c r="I110" s="25">
        <f t="shared" si="7"/>
        <v>30604</v>
      </c>
    </row>
    <row r="111" spans="1:12" x14ac:dyDescent="0.25">
      <c r="A111" s="7">
        <v>2</v>
      </c>
      <c r="B111" s="4" t="s">
        <v>84</v>
      </c>
      <c r="C111" s="16" t="s">
        <v>78</v>
      </c>
      <c r="D111" s="2">
        <v>3</v>
      </c>
      <c r="E111" s="2" t="s">
        <v>2</v>
      </c>
      <c r="F111" s="2">
        <v>600</v>
      </c>
      <c r="G111" s="22">
        <v>0</v>
      </c>
      <c r="H111" s="23">
        <f t="shared" si="6"/>
        <v>600</v>
      </c>
      <c r="I111" s="23">
        <f t="shared" si="7"/>
        <v>1800</v>
      </c>
      <c r="L111">
        <v>1800</v>
      </c>
    </row>
    <row r="112" spans="1:12" x14ac:dyDescent="0.25">
      <c r="A112" s="7">
        <v>3</v>
      </c>
      <c r="B112" s="4" t="s">
        <v>27</v>
      </c>
      <c r="C112" s="16" t="s">
        <v>13</v>
      </c>
      <c r="D112" s="2">
        <v>4</v>
      </c>
      <c r="E112" s="2" t="s">
        <v>2</v>
      </c>
      <c r="F112" s="2">
        <v>410</v>
      </c>
      <c r="G112" s="22">
        <v>0.6</v>
      </c>
      <c r="H112" s="23">
        <f t="shared" si="6"/>
        <v>164</v>
      </c>
      <c r="I112" s="23">
        <f t="shared" si="7"/>
        <v>656</v>
      </c>
    </row>
    <row r="113" spans="1:12" x14ac:dyDescent="0.25">
      <c r="A113" s="7">
        <v>4</v>
      </c>
      <c r="B113" s="4" t="s">
        <v>11</v>
      </c>
      <c r="C113" s="16" t="s">
        <v>63</v>
      </c>
      <c r="D113" s="2">
        <v>1</v>
      </c>
      <c r="E113" s="2" t="s">
        <v>4</v>
      </c>
      <c r="F113" s="2">
        <v>210</v>
      </c>
      <c r="G113" s="22">
        <v>0</v>
      </c>
      <c r="H113" s="23">
        <f t="shared" si="6"/>
        <v>210</v>
      </c>
      <c r="I113" s="23">
        <f t="shared" si="7"/>
        <v>210</v>
      </c>
    </row>
    <row r="114" spans="1:12" x14ac:dyDescent="0.25">
      <c r="A114" s="7">
        <v>5</v>
      </c>
      <c r="B114" s="36" t="s">
        <v>59</v>
      </c>
      <c r="C114" s="16" t="s">
        <v>13</v>
      </c>
      <c r="D114" s="2">
        <v>1</v>
      </c>
      <c r="E114" s="2" t="s">
        <v>2</v>
      </c>
      <c r="F114" s="19">
        <v>4680</v>
      </c>
      <c r="G114" s="22">
        <v>0.53</v>
      </c>
      <c r="H114" s="23">
        <f t="shared" si="6"/>
        <v>2199.6</v>
      </c>
      <c r="I114" s="23">
        <f t="shared" si="7"/>
        <v>2199.6</v>
      </c>
    </row>
    <row r="115" spans="1:12" x14ac:dyDescent="0.25">
      <c r="A115" s="7">
        <v>6</v>
      </c>
      <c r="B115" s="36" t="s">
        <v>31</v>
      </c>
      <c r="C115" s="16" t="s">
        <v>13</v>
      </c>
      <c r="D115" s="2">
        <v>2</v>
      </c>
      <c r="E115" s="2" t="s">
        <v>2</v>
      </c>
      <c r="F115" s="19">
        <v>3290</v>
      </c>
      <c r="G115" s="22">
        <v>0.53</v>
      </c>
      <c r="H115" s="23">
        <f t="shared" si="6"/>
        <v>1546.3</v>
      </c>
      <c r="I115" s="25">
        <f t="shared" si="7"/>
        <v>3092.6</v>
      </c>
    </row>
    <row r="116" spans="1:12" x14ac:dyDescent="0.25">
      <c r="A116" s="7">
        <v>8</v>
      </c>
      <c r="B116" s="40" t="s">
        <v>74</v>
      </c>
      <c r="C116" s="42" t="s">
        <v>71</v>
      </c>
      <c r="D116" s="43">
        <v>1</v>
      </c>
      <c r="E116" s="43" t="s">
        <v>2</v>
      </c>
      <c r="F116" s="44">
        <v>6790</v>
      </c>
      <c r="G116" s="45">
        <v>0.35</v>
      </c>
      <c r="H116" s="26">
        <f t="shared" si="6"/>
        <v>4413.5</v>
      </c>
      <c r="I116" s="46">
        <f t="shared" si="7"/>
        <v>4413.5</v>
      </c>
    </row>
    <row r="117" spans="1:12" x14ac:dyDescent="0.25">
      <c r="A117" s="7"/>
      <c r="B117" s="4"/>
      <c r="C117" s="16"/>
      <c r="D117" s="2"/>
      <c r="E117" s="2"/>
      <c r="F117" s="2"/>
      <c r="G117" s="22"/>
      <c r="H117" s="23"/>
      <c r="I117" s="25"/>
    </row>
    <row r="118" spans="1:12" x14ac:dyDescent="0.25">
      <c r="A118" s="7">
        <v>1</v>
      </c>
      <c r="B118" s="35" t="s">
        <v>40</v>
      </c>
      <c r="C118" s="27" t="s">
        <v>13</v>
      </c>
      <c r="D118" s="18">
        <v>1</v>
      </c>
      <c r="E118" s="2" t="s">
        <v>2</v>
      </c>
      <c r="F118" s="19">
        <v>57610</v>
      </c>
      <c r="G118" s="22">
        <v>0.6</v>
      </c>
      <c r="H118" s="23">
        <f t="shared" ref="H118:H140" si="16">F118*(1-G118)</f>
        <v>23044</v>
      </c>
      <c r="I118" s="25">
        <f t="shared" ref="I118:I131" si="17">D118*H118</f>
        <v>23044</v>
      </c>
    </row>
    <row r="119" spans="1:12" x14ac:dyDescent="0.25">
      <c r="A119" s="7">
        <v>2</v>
      </c>
      <c r="B119" s="4" t="s">
        <v>79</v>
      </c>
      <c r="C119" s="16" t="s">
        <v>78</v>
      </c>
      <c r="D119" s="2">
        <v>3</v>
      </c>
      <c r="E119" s="2" t="s">
        <v>2</v>
      </c>
      <c r="F119" s="2">
        <v>600</v>
      </c>
      <c r="G119" s="22">
        <v>0</v>
      </c>
      <c r="H119" s="23">
        <f t="shared" si="16"/>
        <v>600</v>
      </c>
      <c r="I119" s="23">
        <f t="shared" si="17"/>
        <v>1800</v>
      </c>
      <c r="L119">
        <v>1800</v>
      </c>
    </row>
    <row r="120" spans="1:12" x14ac:dyDescent="0.25">
      <c r="A120" s="7">
        <v>3</v>
      </c>
      <c r="B120" s="3" t="s">
        <v>27</v>
      </c>
      <c r="C120" s="16" t="s">
        <v>13</v>
      </c>
      <c r="D120" s="2">
        <v>4</v>
      </c>
      <c r="E120" s="2" t="s">
        <v>2</v>
      </c>
      <c r="F120" s="2">
        <v>410</v>
      </c>
      <c r="G120" s="22">
        <v>0.6</v>
      </c>
      <c r="H120" s="23">
        <f t="shared" si="16"/>
        <v>164</v>
      </c>
      <c r="I120" s="23">
        <f t="shared" si="17"/>
        <v>656</v>
      </c>
    </row>
    <row r="121" spans="1:12" x14ac:dyDescent="0.25">
      <c r="A121" s="7">
        <v>4</v>
      </c>
      <c r="B121" s="3" t="s">
        <v>11</v>
      </c>
      <c r="C121" s="16" t="s">
        <v>63</v>
      </c>
      <c r="D121" s="2">
        <v>1</v>
      </c>
      <c r="E121" s="2" t="s">
        <v>4</v>
      </c>
      <c r="F121" s="2">
        <v>210</v>
      </c>
      <c r="G121" s="22">
        <v>0</v>
      </c>
      <c r="H121" s="23">
        <f t="shared" si="16"/>
        <v>210</v>
      </c>
      <c r="I121" s="23">
        <f t="shared" si="17"/>
        <v>210</v>
      </c>
    </row>
    <row r="122" spans="1:12" x14ac:dyDescent="0.25">
      <c r="A122" s="7">
        <v>5</v>
      </c>
      <c r="B122" s="32" t="s">
        <v>59</v>
      </c>
      <c r="C122" s="16" t="s">
        <v>13</v>
      </c>
      <c r="D122" s="2">
        <v>1</v>
      </c>
      <c r="E122" s="2" t="s">
        <v>2</v>
      </c>
      <c r="F122" s="19">
        <v>4680</v>
      </c>
      <c r="G122" s="22">
        <v>0.53</v>
      </c>
      <c r="H122" s="25">
        <f t="shared" si="16"/>
        <v>2199.6</v>
      </c>
      <c r="I122" s="25">
        <f t="shared" si="17"/>
        <v>2199.6</v>
      </c>
    </row>
    <row r="123" spans="1:12" x14ac:dyDescent="0.25">
      <c r="A123" s="7">
        <v>6</v>
      </c>
      <c r="B123" s="32" t="s">
        <v>31</v>
      </c>
      <c r="C123" s="16" t="s">
        <v>13</v>
      </c>
      <c r="D123" s="2">
        <v>2</v>
      </c>
      <c r="E123" s="2" t="s">
        <v>2</v>
      </c>
      <c r="F123" s="19">
        <v>3290</v>
      </c>
      <c r="G123" s="22">
        <v>0.53</v>
      </c>
      <c r="H123" s="25">
        <f t="shared" si="16"/>
        <v>1546.3</v>
      </c>
      <c r="I123" s="25">
        <f t="shared" si="17"/>
        <v>3092.6</v>
      </c>
    </row>
    <row r="124" spans="1:12" x14ac:dyDescent="0.25">
      <c r="A124" s="7">
        <v>8</v>
      </c>
      <c r="B124" s="40" t="s">
        <v>74</v>
      </c>
      <c r="C124" s="42" t="s">
        <v>71</v>
      </c>
      <c r="D124" s="43">
        <v>1</v>
      </c>
      <c r="E124" s="43" t="s">
        <v>2</v>
      </c>
      <c r="F124" s="44">
        <v>6790</v>
      </c>
      <c r="G124" s="45">
        <v>0.35</v>
      </c>
      <c r="H124" s="26">
        <f t="shared" si="16"/>
        <v>4413.5</v>
      </c>
      <c r="I124" s="46">
        <f t="shared" si="17"/>
        <v>4413.5</v>
      </c>
    </row>
    <row r="125" spans="1:12" x14ac:dyDescent="0.25">
      <c r="A125" s="7"/>
      <c r="B125" s="3"/>
      <c r="C125" s="16"/>
      <c r="D125" s="2"/>
      <c r="E125" s="2"/>
      <c r="F125" s="2"/>
      <c r="G125" s="22"/>
      <c r="H125" s="25"/>
      <c r="I125" s="25"/>
    </row>
    <row r="126" spans="1:12" x14ac:dyDescent="0.25">
      <c r="A126" s="7">
        <v>1</v>
      </c>
      <c r="B126" s="35" t="s">
        <v>45</v>
      </c>
      <c r="C126" s="27" t="s">
        <v>13</v>
      </c>
      <c r="D126" s="18">
        <v>1</v>
      </c>
      <c r="E126" s="2" t="s">
        <v>2</v>
      </c>
      <c r="F126" s="19">
        <v>24320</v>
      </c>
      <c r="G126" s="22">
        <v>0.6</v>
      </c>
      <c r="H126" s="25">
        <f t="shared" si="16"/>
        <v>9728</v>
      </c>
      <c r="I126" s="25">
        <f t="shared" si="17"/>
        <v>9728</v>
      </c>
    </row>
    <row r="127" spans="1:12" x14ac:dyDescent="0.25">
      <c r="A127" s="7">
        <v>2</v>
      </c>
      <c r="B127" s="3" t="s">
        <v>85</v>
      </c>
      <c r="C127" s="16" t="s">
        <v>78</v>
      </c>
      <c r="D127" s="2">
        <v>3</v>
      </c>
      <c r="E127" s="2" t="s">
        <v>2</v>
      </c>
      <c r="F127" s="2">
        <v>300</v>
      </c>
      <c r="G127" s="22">
        <v>0</v>
      </c>
      <c r="H127" s="25">
        <f t="shared" si="16"/>
        <v>300</v>
      </c>
      <c r="I127" s="25">
        <f t="shared" si="17"/>
        <v>900</v>
      </c>
      <c r="L127">
        <v>900</v>
      </c>
    </row>
    <row r="128" spans="1:12" x14ac:dyDescent="0.25">
      <c r="A128" s="7">
        <v>3</v>
      </c>
      <c r="B128" s="3" t="s">
        <v>27</v>
      </c>
      <c r="C128" s="16" t="s">
        <v>13</v>
      </c>
      <c r="D128" s="2">
        <v>4</v>
      </c>
      <c r="E128" s="2" t="s">
        <v>2</v>
      </c>
      <c r="F128" s="2">
        <v>410</v>
      </c>
      <c r="G128" s="22">
        <v>0.6</v>
      </c>
      <c r="H128" s="23">
        <f t="shared" si="16"/>
        <v>164</v>
      </c>
      <c r="I128" s="23">
        <f t="shared" si="17"/>
        <v>656</v>
      </c>
      <c r="L128">
        <f>SUM(L39:L127)</f>
        <v>18900</v>
      </c>
    </row>
    <row r="129" spans="1:9" x14ac:dyDescent="0.25">
      <c r="A129" s="7">
        <v>4</v>
      </c>
      <c r="B129" s="3" t="s">
        <v>11</v>
      </c>
      <c r="C129" s="16" t="s">
        <v>63</v>
      </c>
      <c r="D129" s="2">
        <v>1</v>
      </c>
      <c r="E129" s="2" t="s">
        <v>4</v>
      </c>
      <c r="F129" s="2">
        <v>210</v>
      </c>
      <c r="G129" s="22">
        <v>0</v>
      </c>
      <c r="H129" s="23">
        <f t="shared" si="16"/>
        <v>210</v>
      </c>
      <c r="I129" s="23">
        <f t="shared" si="17"/>
        <v>210</v>
      </c>
    </row>
    <row r="130" spans="1:9" x14ac:dyDescent="0.25">
      <c r="A130" s="7">
        <v>5</v>
      </c>
      <c r="B130" s="32" t="s">
        <v>58</v>
      </c>
      <c r="C130" s="16" t="s">
        <v>13</v>
      </c>
      <c r="D130" s="2">
        <v>1</v>
      </c>
      <c r="E130" s="2" t="s">
        <v>2</v>
      </c>
      <c r="F130" s="19">
        <v>2630</v>
      </c>
      <c r="G130" s="22">
        <v>0.53</v>
      </c>
      <c r="H130" s="25">
        <f t="shared" si="16"/>
        <v>1236.0999999999999</v>
      </c>
      <c r="I130" s="25">
        <f t="shared" si="17"/>
        <v>1236.0999999999999</v>
      </c>
    </row>
    <row r="131" spans="1:9" x14ac:dyDescent="0.25">
      <c r="A131" s="7">
        <v>6</v>
      </c>
      <c r="B131" s="32" t="s">
        <v>33</v>
      </c>
      <c r="C131" s="16" t="s">
        <v>13</v>
      </c>
      <c r="D131" s="2">
        <v>2</v>
      </c>
      <c r="E131" s="2" t="s">
        <v>2</v>
      </c>
      <c r="F131" s="19">
        <v>1300</v>
      </c>
      <c r="G131" s="22">
        <v>0.53</v>
      </c>
      <c r="H131" s="25">
        <f t="shared" si="16"/>
        <v>611</v>
      </c>
      <c r="I131" s="25">
        <f t="shared" si="17"/>
        <v>1222</v>
      </c>
    </row>
    <row r="132" spans="1:9" x14ac:dyDescent="0.25">
      <c r="A132" s="7">
        <v>8</v>
      </c>
      <c r="B132" s="40" t="s">
        <v>74</v>
      </c>
      <c r="C132" s="42" t="s">
        <v>71</v>
      </c>
      <c r="D132" s="43">
        <v>1</v>
      </c>
      <c r="E132" s="43" t="s">
        <v>2</v>
      </c>
      <c r="F132" s="44">
        <v>6790</v>
      </c>
      <c r="G132" s="45">
        <v>0.35</v>
      </c>
      <c r="H132" s="26">
        <f t="shared" ref="H132" si="18">F132*(1-G132)</f>
        <v>4413.5</v>
      </c>
      <c r="I132" s="46">
        <f t="shared" ref="I132" si="19">D132*H132</f>
        <v>4413.5</v>
      </c>
    </row>
    <row r="133" spans="1:9" x14ac:dyDescent="0.25">
      <c r="A133" s="7"/>
      <c r="B133" s="3"/>
      <c r="C133" s="11"/>
      <c r="D133" s="7"/>
      <c r="E133" s="7"/>
      <c r="F133" s="7"/>
      <c r="G133" s="24"/>
      <c r="H133" s="25"/>
      <c r="I133" s="25"/>
    </row>
    <row r="134" spans="1:9" x14ac:dyDescent="0.25">
      <c r="A134" s="7">
        <v>1</v>
      </c>
      <c r="B134" s="3" t="s">
        <v>56</v>
      </c>
      <c r="C134" s="16" t="s">
        <v>13</v>
      </c>
      <c r="D134" s="7">
        <v>4</v>
      </c>
      <c r="E134" s="7" t="s">
        <v>2</v>
      </c>
      <c r="F134" s="15">
        <v>0</v>
      </c>
      <c r="G134" s="24">
        <v>0.6</v>
      </c>
      <c r="H134" s="25">
        <f t="shared" ref="H134" si="20">F134*(1-G134)</f>
        <v>0</v>
      </c>
      <c r="I134" s="25">
        <f t="shared" ref="I134" si="21">D134*H134</f>
        <v>0</v>
      </c>
    </row>
    <row r="135" spans="1:9" x14ac:dyDescent="0.25">
      <c r="A135" s="7"/>
      <c r="B135" s="3"/>
      <c r="C135" s="11"/>
      <c r="D135" s="7"/>
      <c r="E135" s="7"/>
      <c r="F135" s="15"/>
      <c r="G135" s="24"/>
      <c r="H135" s="25"/>
      <c r="I135" s="25"/>
    </row>
    <row r="136" spans="1:9" x14ac:dyDescent="0.25">
      <c r="A136" s="7">
        <v>1</v>
      </c>
      <c r="B136" s="40" t="s">
        <v>62</v>
      </c>
      <c r="C136" s="16" t="s">
        <v>70</v>
      </c>
      <c r="D136" s="7"/>
      <c r="E136" s="7"/>
      <c r="F136" s="7">
        <v>0</v>
      </c>
      <c r="G136" s="24">
        <v>0</v>
      </c>
      <c r="H136" s="25">
        <f t="shared" si="16"/>
        <v>0</v>
      </c>
      <c r="I136" s="61">
        <v>450000</v>
      </c>
    </row>
    <row r="137" spans="1:9" x14ac:dyDescent="0.25">
      <c r="A137" s="7">
        <v>2</v>
      </c>
      <c r="B137" s="3" t="s">
        <v>57</v>
      </c>
      <c r="C137" s="11"/>
      <c r="D137" s="7">
        <v>1</v>
      </c>
      <c r="E137" s="7"/>
      <c r="F137" s="7">
        <v>0</v>
      </c>
      <c r="G137" s="24">
        <v>0</v>
      </c>
      <c r="H137" s="25">
        <f t="shared" si="16"/>
        <v>0</v>
      </c>
      <c r="I137" s="25">
        <v>15000</v>
      </c>
    </row>
    <row r="138" spans="1:9" x14ac:dyDescent="0.25">
      <c r="A138" s="7">
        <v>3</v>
      </c>
      <c r="B138" s="3" t="s">
        <v>28</v>
      </c>
      <c r="C138" s="8" t="s">
        <v>69</v>
      </c>
      <c r="D138" s="7">
        <v>1</v>
      </c>
      <c r="E138" s="7"/>
      <c r="F138" s="7">
        <v>0</v>
      </c>
      <c r="G138" s="24">
        <v>0</v>
      </c>
      <c r="H138" s="25">
        <f t="shared" si="16"/>
        <v>0</v>
      </c>
      <c r="I138" s="25">
        <v>25000</v>
      </c>
    </row>
    <row r="139" spans="1:9" x14ac:dyDescent="0.25">
      <c r="A139" s="7">
        <v>4</v>
      </c>
      <c r="B139" s="3" t="s">
        <v>3</v>
      </c>
      <c r="C139" s="8" t="s">
        <v>68</v>
      </c>
      <c r="D139" s="7">
        <v>1</v>
      </c>
      <c r="E139" s="7"/>
      <c r="F139" s="7">
        <v>0</v>
      </c>
      <c r="G139" s="24">
        <v>0</v>
      </c>
      <c r="H139" s="25">
        <f t="shared" si="16"/>
        <v>0</v>
      </c>
      <c r="I139" s="25">
        <v>140000</v>
      </c>
    </row>
    <row r="140" spans="1:9" x14ac:dyDescent="0.25">
      <c r="A140" s="7">
        <v>5</v>
      </c>
      <c r="B140" s="3" t="s">
        <v>126</v>
      </c>
      <c r="C140" s="8"/>
      <c r="D140" s="7">
        <v>1</v>
      </c>
      <c r="E140" s="7"/>
      <c r="F140" s="7">
        <v>0</v>
      </c>
      <c r="G140" s="24">
        <v>0</v>
      </c>
      <c r="H140" s="25">
        <f t="shared" si="16"/>
        <v>0</v>
      </c>
      <c r="I140" s="25">
        <v>50000</v>
      </c>
    </row>
    <row r="141" spans="1:9" x14ac:dyDescent="0.25">
      <c r="A141" s="7"/>
      <c r="B141" s="3"/>
      <c r="C141" s="8"/>
      <c r="D141" s="7"/>
      <c r="E141" s="7"/>
      <c r="F141" s="7"/>
      <c r="G141" s="24"/>
      <c r="H141" s="25"/>
      <c r="I141" s="25">
        <v>0</v>
      </c>
    </row>
    <row r="142" spans="1:9" x14ac:dyDescent="0.25">
      <c r="A142" s="7"/>
      <c r="B142" s="9"/>
      <c r="C142" s="8"/>
      <c r="D142" s="7"/>
      <c r="E142" s="7"/>
      <c r="F142" s="7"/>
      <c r="G142" s="24"/>
      <c r="H142" s="7" t="s">
        <v>48</v>
      </c>
      <c r="I142" s="26">
        <f>SUM(I4:I141)</f>
        <v>1530250.1999999995</v>
      </c>
    </row>
    <row r="143" spans="1:9" x14ac:dyDescent="0.25">
      <c r="H143" s="10" t="s">
        <v>128</v>
      </c>
      <c r="I143" s="10">
        <f>I142*0.15</f>
        <v>229537.52999999991</v>
      </c>
    </row>
    <row r="144" spans="1:9" x14ac:dyDescent="0.25">
      <c r="I144" s="37">
        <f>I142+I143</f>
        <v>1759787.7299999995</v>
      </c>
    </row>
    <row r="146" spans="2:2" x14ac:dyDescent="0.25">
      <c r="B146" s="28" t="s">
        <v>120</v>
      </c>
    </row>
    <row r="147" spans="2:2" x14ac:dyDescent="0.25">
      <c r="B147" s="30" t="s">
        <v>121</v>
      </c>
    </row>
    <row r="148" spans="2:2" x14ac:dyDescent="0.25">
      <c r="B148" s="30" t="s">
        <v>123</v>
      </c>
    </row>
    <row r="149" spans="2:2" x14ac:dyDescent="0.25">
      <c r="B149" s="30" t="s">
        <v>122</v>
      </c>
    </row>
    <row r="150" spans="2:2" x14ac:dyDescent="0.25">
      <c r="B150" s="30" t="s">
        <v>127</v>
      </c>
    </row>
  </sheetData>
  <autoFilter ref="B1:B150"/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topLeftCell="A22" workbookViewId="0">
      <selection activeCell="B32" sqref="B32"/>
    </sheetView>
  </sheetViews>
  <sheetFormatPr defaultRowHeight="15" x14ac:dyDescent="0.25"/>
  <cols>
    <col min="1" max="1" width="3.85546875" style="10" bestFit="1" customWidth="1"/>
    <col min="2" max="2" width="58" style="14" bestFit="1" customWidth="1"/>
    <col min="3" max="3" width="15.140625" style="21" bestFit="1" customWidth="1"/>
    <col min="4" max="4" width="6" style="10" bestFit="1" customWidth="1"/>
    <col min="5" max="5" width="5.42578125" style="10" bestFit="1" customWidth="1"/>
    <col min="6" max="6" width="11.5703125" style="10" customWidth="1"/>
    <col min="7" max="7" width="12.28515625" style="10" customWidth="1"/>
    <col min="8" max="8" width="11.5703125" style="10" customWidth="1"/>
    <col min="9" max="9" width="13.28515625" style="10" customWidth="1"/>
    <col min="10" max="10" width="5.42578125" customWidth="1"/>
    <col min="11" max="11" width="3.85546875" customWidth="1"/>
    <col min="12" max="12" width="18.7109375" customWidth="1"/>
    <col min="13" max="13" width="11.28515625" bestFit="1" customWidth="1"/>
    <col min="14" max="14" width="6" bestFit="1" customWidth="1"/>
    <col min="15" max="15" width="5.42578125" bestFit="1" customWidth="1"/>
    <col min="16" max="16" width="9.140625" bestFit="1" customWidth="1"/>
    <col min="17" max="17" width="7.7109375" bestFit="1" customWidth="1"/>
  </cols>
  <sheetData>
    <row r="1" spans="1:9" x14ac:dyDescent="0.25">
      <c r="A1" s="7"/>
      <c r="B1" s="28" t="s">
        <v>7</v>
      </c>
      <c r="C1" s="8"/>
      <c r="D1" s="7"/>
      <c r="E1" s="7"/>
      <c r="F1" s="7"/>
      <c r="G1" s="7"/>
      <c r="H1" s="7"/>
      <c r="I1" s="7"/>
    </row>
    <row r="2" spans="1:9" x14ac:dyDescent="0.25">
      <c r="A2" s="6" t="s">
        <v>8</v>
      </c>
      <c r="B2" s="13" t="s">
        <v>0</v>
      </c>
      <c r="C2" s="20" t="s">
        <v>9</v>
      </c>
      <c r="D2" s="1" t="s">
        <v>20</v>
      </c>
      <c r="E2" s="6" t="s">
        <v>1</v>
      </c>
      <c r="F2" s="6" t="s">
        <v>10</v>
      </c>
      <c r="G2" s="34" t="s">
        <v>46</v>
      </c>
      <c r="H2" s="34" t="s">
        <v>47</v>
      </c>
      <c r="I2" s="1" t="s">
        <v>30</v>
      </c>
    </row>
    <row r="3" spans="1:9" x14ac:dyDescent="0.25">
      <c r="A3" s="6" t="s">
        <v>21</v>
      </c>
      <c r="B3" s="53" t="s">
        <v>29</v>
      </c>
      <c r="C3" s="54"/>
      <c r="D3" s="55"/>
      <c r="E3" s="56"/>
      <c r="F3" s="56"/>
      <c r="G3" s="56"/>
      <c r="H3" s="56"/>
      <c r="I3" s="2"/>
    </row>
    <row r="4" spans="1:9" x14ac:dyDescent="0.25">
      <c r="A4" s="7">
        <v>1</v>
      </c>
      <c r="B4" s="4" t="s">
        <v>19</v>
      </c>
      <c r="C4" s="58" t="s">
        <v>71</v>
      </c>
      <c r="D4" s="59">
        <v>1</v>
      </c>
      <c r="E4" s="59" t="s">
        <v>2</v>
      </c>
      <c r="F4" s="68">
        <v>467400</v>
      </c>
      <c r="G4" s="60">
        <v>0.71</v>
      </c>
      <c r="H4" s="61">
        <f>F4*(1-G4)</f>
        <v>135546.00000000003</v>
      </c>
      <c r="I4" s="61">
        <f>D4*H4</f>
        <v>135546.00000000003</v>
      </c>
    </row>
    <row r="5" spans="1:9" x14ac:dyDescent="0.25">
      <c r="A5" s="7">
        <v>2</v>
      </c>
      <c r="B5" s="4" t="s">
        <v>66</v>
      </c>
      <c r="C5" s="58" t="s">
        <v>86</v>
      </c>
      <c r="D5" s="59">
        <v>1</v>
      </c>
      <c r="E5" s="59" t="s">
        <v>2</v>
      </c>
      <c r="F5" s="59">
        <v>210</v>
      </c>
      <c r="G5" s="60">
        <v>0</v>
      </c>
      <c r="H5" s="61">
        <f t="shared" ref="H5:H68" si="0">F5*(1-G5)</f>
        <v>210</v>
      </c>
      <c r="I5" s="61">
        <f>D5*H5</f>
        <v>210</v>
      </c>
    </row>
    <row r="6" spans="1:9" x14ac:dyDescent="0.25">
      <c r="A6" s="7">
        <v>3</v>
      </c>
      <c r="B6" s="4" t="s">
        <v>27</v>
      </c>
      <c r="C6" s="58" t="s">
        <v>71</v>
      </c>
      <c r="D6" s="59">
        <v>4</v>
      </c>
      <c r="E6" s="59" t="s">
        <v>2</v>
      </c>
      <c r="F6" s="59">
        <v>318</v>
      </c>
      <c r="G6" s="60">
        <v>0.55000000000000004</v>
      </c>
      <c r="H6" s="61">
        <f t="shared" si="0"/>
        <v>143.1</v>
      </c>
      <c r="I6" s="61">
        <f t="shared" ref="I6:I68" si="1">D6*H6</f>
        <v>572.4</v>
      </c>
    </row>
    <row r="7" spans="1:9" x14ac:dyDescent="0.25">
      <c r="A7" s="7">
        <v>5</v>
      </c>
      <c r="B7" s="4" t="s">
        <v>12</v>
      </c>
      <c r="C7" s="58" t="s">
        <v>64</v>
      </c>
      <c r="D7" s="59">
        <v>3</v>
      </c>
      <c r="E7" s="59" t="s">
        <v>2</v>
      </c>
      <c r="F7" s="59">
        <v>1200</v>
      </c>
      <c r="G7" s="60">
        <v>0</v>
      </c>
      <c r="H7" s="61">
        <f t="shared" si="0"/>
        <v>1200</v>
      </c>
      <c r="I7" s="61">
        <f t="shared" si="1"/>
        <v>3600</v>
      </c>
    </row>
    <row r="8" spans="1:9" x14ac:dyDescent="0.25">
      <c r="A8" s="7">
        <v>6</v>
      </c>
      <c r="B8" s="4" t="s">
        <v>76</v>
      </c>
      <c r="C8" s="58" t="s">
        <v>71</v>
      </c>
      <c r="D8" s="59">
        <v>1</v>
      </c>
      <c r="E8" s="59" t="s">
        <v>2</v>
      </c>
      <c r="F8" s="59">
        <v>7665</v>
      </c>
      <c r="G8" s="60">
        <v>0.35</v>
      </c>
      <c r="H8" s="61">
        <f t="shared" si="0"/>
        <v>4982.25</v>
      </c>
      <c r="I8" s="61">
        <f t="shared" si="1"/>
        <v>4982.25</v>
      </c>
    </row>
    <row r="9" spans="1:9" x14ac:dyDescent="0.25">
      <c r="A9" s="7">
        <v>7</v>
      </c>
      <c r="B9" s="4" t="s">
        <v>34</v>
      </c>
      <c r="C9" s="58" t="s">
        <v>37</v>
      </c>
      <c r="D9" s="59">
        <v>1</v>
      </c>
      <c r="E9" s="59" t="s">
        <v>2</v>
      </c>
      <c r="F9" s="59">
        <v>8400</v>
      </c>
      <c r="G9" s="60">
        <v>0.5</v>
      </c>
      <c r="H9" s="61">
        <f t="shared" si="0"/>
        <v>4200</v>
      </c>
      <c r="I9" s="61">
        <f t="shared" si="1"/>
        <v>4200</v>
      </c>
    </row>
    <row r="10" spans="1:9" x14ac:dyDescent="0.25">
      <c r="A10" s="7">
        <v>8</v>
      </c>
      <c r="B10" s="69" t="s">
        <v>55</v>
      </c>
      <c r="C10" s="58" t="s">
        <v>71</v>
      </c>
      <c r="D10" s="59">
        <v>1</v>
      </c>
      <c r="E10" s="59" t="s">
        <v>2</v>
      </c>
      <c r="F10" s="59">
        <v>1080</v>
      </c>
      <c r="G10" s="60">
        <v>0.55000000000000004</v>
      </c>
      <c r="H10" s="61">
        <f t="shared" si="0"/>
        <v>485.99999999999994</v>
      </c>
      <c r="I10" s="61">
        <f t="shared" si="1"/>
        <v>485.99999999999994</v>
      </c>
    </row>
    <row r="11" spans="1:9" x14ac:dyDescent="0.25">
      <c r="A11" s="7">
        <v>9</v>
      </c>
      <c r="B11" s="4" t="s">
        <v>14</v>
      </c>
      <c r="C11" s="58" t="s">
        <v>5</v>
      </c>
      <c r="D11" s="59">
        <v>2</v>
      </c>
      <c r="E11" s="59" t="s">
        <v>2</v>
      </c>
      <c r="F11" s="59">
        <v>2400</v>
      </c>
      <c r="G11" s="60">
        <v>0</v>
      </c>
      <c r="H11" s="61">
        <f t="shared" si="0"/>
        <v>2400</v>
      </c>
      <c r="I11" s="61">
        <f t="shared" si="1"/>
        <v>4800</v>
      </c>
    </row>
    <row r="12" spans="1:9" x14ac:dyDescent="0.25">
      <c r="A12" s="7">
        <v>10</v>
      </c>
      <c r="B12" s="4" t="s">
        <v>15</v>
      </c>
      <c r="C12" s="58" t="s">
        <v>5</v>
      </c>
      <c r="D12" s="59">
        <v>2</v>
      </c>
      <c r="E12" s="59" t="s">
        <v>2</v>
      </c>
      <c r="F12" s="59">
        <v>100</v>
      </c>
      <c r="G12" s="60">
        <v>0</v>
      </c>
      <c r="H12" s="61">
        <f t="shared" si="0"/>
        <v>100</v>
      </c>
      <c r="I12" s="61">
        <f t="shared" si="1"/>
        <v>200</v>
      </c>
    </row>
    <row r="13" spans="1:9" x14ac:dyDescent="0.25">
      <c r="A13" s="7">
        <v>11</v>
      </c>
      <c r="B13" s="4" t="s">
        <v>16</v>
      </c>
      <c r="C13" s="58" t="s">
        <v>5</v>
      </c>
      <c r="D13" s="59">
        <v>2</v>
      </c>
      <c r="E13" s="59" t="s">
        <v>2</v>
      </c>
      <c r="F13" s="59">
        <v>750</v>
      </c>
      <c r="G13" s="60">
        <v>0</v>
      </c>
      <c r="H13" s="61">
        <f t="shared" si="0"/>
        <v>750</v>
      </c>
      <c r="I13" s="61">
        <f t="shared" si="1"/>
        <v>1500</v>
      </c>
    </row>
    <row r="14" spans="1:9" x14ac:dyDescent="0.25">
      <c r="A14" s="7">
        <v>12</v>
      </c>
      <c r="B14" s="31" t="s">
        <v>115</v>
      </c>
      <c r="C14" s="16" t="s">
        <v>86</v>
      </c>
      <c r="D14" s="59">
        <v>1</v>
      </c>
      <c r="E14" s="59" t="s">
        <v>2</v>
      </c>
      <c r="F14" s="59">
        <v>150</v>
      </c>
      <c r="G14" s="60">
        <v>0</v>
      </c>
      <c r="H14" s="61">
        <f t="shared" si="0"/>
        <v>150</v>
      </c>
      <c r="I14" s="61">
        <f t="shared" si="1"/>
        <v>150</v>
      </c>
    </row>
    <row r="15" spans="1:9" x14ac:dyDescent="0.25">
      <c r="A15" s="7">
        <v>13</v>
      </c>
      <c r="B15" s="35" t="s">
        <v>89</v>
      </c>
      <c r="C15" s="58" t="s">
        <v>114</v>
      </c>
      <c r="D15" s="59">
        <v>1</v>
      </c>
      <c r="E15" s="59" t="s">
        <v>2</v>
      </c>
      <c r="F15" s="59">
        <v>100</v>
      </c>
      <c r="G15" s="60">
        <v>0</v>
      </c>
      <c r="H15" s="61">
        <f t="shared" si="0"/>
        <v>100</v>
      </c>
      <c r="I15" s="61">
        <f t="shared" si="1"/>
        <v>100</v>
      </c>
    </row>
    <row r="16" spans="1:9" x14ac:dyDescent="0.25">
      <c r="A16" s="7">
        <v>14</v>
      </c>
      <c r="B16" s="31" t="s">
        <v>116</v>
      </c>
      <c r="C16" s="16" t="s">
        <v>86</v>
      </c>
      <c r="D16" s="59">
        <v>1</v>
      </c>
      <c r="E16" s="59" t="s">
        <v>2</v>
      </c>
      <c r="F16" s="59">
        <v>180</v>
      </c>
      <c r="G16" s="60">
        <v>0</v>
      </c>
      <c r="H16" s="61">
        <f t="shared" si="0"/>
        <v>180</v>
      </c>
      <c r="I16" s="61">
        <f t="shared" si="1"/>
        <v>180</v>
      </c>
    </row>
    <row r="17" spans="1:10" x14ac:dyDescent="0.25">
      <c r="A17" s="7">
        <v>15</v>
      </c>
      <c r="B17" s="35" t="s">
        <v>36</v>
      </c>
      <c r="C17" s="58" t="s">
        <v>71</v>
      </c>
      <c r="D17" s="59">
        <v>1</v>
      </c>
      <c r="E17" s="59" t="s">
        <v>2</v>
      </c>
      <c r="F17" s="59">
        <v>1800</v>
      </c>
      <c r="G17" s="60">
        <v>0</v>
      </c>
      <c r="H17" s="61">
        <f t="shared" si="0"/>
        <v>1800</v>
      </c>
      <c r="I17" s="61">
        <f t="shared" si="1"/>
        <v>1800</v>
      </c>
    </row>
    <row r="18" spans="1:10" x14ac:dyDescent="0.25">
      <c r="A18" s="7">
        <v>16</v>
      </c>
      <c r="B18" s="35" t="s">
        <v>35</v>
      </c>
      <c r="C18" s="58" t="s">
        <v>71</v>
      </c>
      <c r="D18" s="59">
        <v>1</v>
      </c>
      <c r="E18" s="59" t="s">
        <v>2</v>
      </c>
      <c r="F18" s="59">
        <v>315</v>
      </c>
      <c r="G18" s="60">
        <v>0.35</v>
      </c>
      <c r="H18" s="61">
        <f t="shared" si="0"/>
        <v>204.75</v>
      </c>
      <c r="I18" s="61">
        <f t="shared" si="1"/>
        <v>204.75</v>
      </c>
    </row>
    <row r="19" spans="1:10" x14ac:dyDescent="0.25">
      <c r="A19" s="7">
        <v>17</v>
      </c>
      <c r="B19" s="88" t="s">
        <v>49</v>
      </c>
      <c r="C19" s="89" t="s">
        <v>90</v>
      </c>
      <c r="D19" s="85">
        <v>1</v>
      </c>
      <c r="E19" s="85" t="s">
        <v>2</v>
      </c>
      <c r="F19" s="85">
        <v>4500</v>
      </c>
      <c r="G19" s="86">
        <v>0</v>
      </c>
      <c r="H19" s="87">
        <f t="shared" si="0"/>
        <v>4500</v>
      </c>
      <c r="I19" s="87">
        <f t="shared" si="1"/>
        <v>4500</v>
      </c>
    </row>
    <row r="20" spans="1:10" x14ac:dyDescent="0.25">
      <c r="A20" s="7">
        <v>18</v>
      </c>
      <c r="B20" s="88" t="s">
        <v>50</v>
      </c>
      <c r="C20" s="89" t="s">
        <v>52</v>
      </c>
      <c r="D20" s="85">
        <v>1</v>
      </c>
      <c r="E20" s="85" t="s">
        <v>2</v>
      </c>
      <c r="F20" s="85">
        <v>800</v>
      </c>
      <c r="G20" s="86">
        <v>0</v>
      </c>
      <c r="H20" s="87">
        <f t="shared" si="0"/>
        <v>800</v>
      </c>
      <c r="I20" s="87">
        <f t="shared" si="1"/>
        <v>800</v>
      </c>
    </row>
    <row r="21" spans="1:10" s="52" customFormat="1" x14ac:dyDescent="0.25">
      <c r="A21" s="7">
        <v>19</v>
      </c>
      <c r="B21" s="35" t="s">
        <v>94</v>
      </c>
      <c r="C21" s="39" t="s">
        <v>71</v>
      </c>
      <c r="D21" s="59">
        <v>1</v>
      </c>
      <c r="E21" s="59" t="s">
        <v>2</v>
      </c>
      <c r="F21" s="59">
        <v>2600</v>
      </c>
      <c r="G21" s="60">
        <v>0</v>
      </c>
      <c r="H21" s="61">
        <f t="shared" si="0"/>
        <v>2600</v>
      </c>
      <c r="I21" s="61">
        <f t="shared" si="1"/>
        <v>2600</v>
      </c>
      <c r="J21" s="52" t="s">
        <v>67</v>
      </c>
    </row>
    <row r="22" spans="1:10" x14ac:dyDescent="0.25">
      <c r="A22" s="7"/>
      <c r="B22" s="4"/>
      <c r="C22" s="58"/>
      <c r="D22" s="59"/>
      <c r="E22" s="59"/>
      <c r="F22" s="59"/>
      <c r="G22" s="60"/>
      <c r="H22" s="61"/>
      <c r="I22" s="61"/>
    </row>
    <row r="23" spans="1:10" x14ac:dyDescent="0.25">
      <c r="A23" s="6" t="s">
        <v>24</v>
      </c>
      <c r="B23" s="70" t="s">
        <v>53</v>
      </c>
      <c r="C23" s="71"/>
      <c r="D23" s="72"/>
      <c r="E23" s="73"/>
      <c r="F23" s="73"/>
      <c r="G23" s="60"/>
      <c r="H23" s="61"/>
      <c r="I23" s="61"/>
    </row>
    <row r="24" spans="1:10" x14ac:dyDescent="0.25">
      <c r="A24" s="7">
        <v>1</v>
      </c>
      <c r="B24" s="4" t="s">
        <v>25</v>
      </c>
      <c r="C24" s="58" t="s">
        <v>71</v>
      </c>
      <c r="D24" s="59">
        <v>1</v>
      </c>
      <c r="E24" s="59" t="s">
        <v>2</v>
      </c>
      <c r="F24" s="68">
        <v>393100</v>
      </c>
      <c r="G24" s="60">
        <v>0.71</v>
      </c>
      <c r="H24" s="61">
        <f t="shared" si="0"/>
        <v>113999.00000000001</v>
      </c>
      <c r="I24" s="61">
        <f t="shared" si="1"/>
        <v>113999.00000000001</v>
      </c>
    </row>
    <row r="25" spans="1:10" x14ac:dyDescent="0.25">
      <c r="A25" s="7">
        <v>2</v>
      </c>
      <c r="B25" s="4" t="s">
        <v>11</v>
      </c>
      <c r="C25" s="58" t="s">
        <v>86</v>
      </c>
      <c r="D25" s="59">
        <v>1</v>
      </c>
      <c r="E25" s="59" t="s">
        <v>4</v>
      </c>
      <c r="F25" s="59">
        <v>210</v>
      </c>
      <c r="G25" s="60">
        <v>0</v>
      </c>
      <c r="H25" s="61">
        <f t="shared" si="0"/>
        <v>210</v>
      </c>
      <c r="I25" s="61">
        <f t="shared" si="1"/>
        <v>210</v>
      </c>
    </row>
    <row r="26" spans="1:10" x14ac:dyDescent="0.25">
      <c r="A26" s="7">
        <v>3</v>
      </c>
      <c r="B26" s="4" t="s">
        <v>27</v>
      </c>
      <c r="C26" s="58" t="s">
        <v>71</v>
      </c>
      <c r="D26" s="59">
        <v>4</v>
      </c>
      <c r="E26" s="59" t="s">
        <v>2</v>
      </c>
      <c r="F26" s="59">
        <v>318</v>
      </c>
      <c r="G26" s="60">
        <v>0.55000000000000004</v>
      </c>
      <c r="H26" s="61">
        <f t="shared" si="0"/>
        <v>143.1</v>
      </c>
      <c r="I26" s="61">
        <f t="shared" si="1"/>
        <v>572.4</v>
      </c>
    </row>
    <row r="27" spans="1:10" x14ac:dyDescent="0.25">
      <c r="A27" s="7">
        <v>5</v>
      </c>
      <c r="B27" s="4" t="s">
        <v>26</v>
      </c>
      <c r="C27" s="58" t="s">
        <v>64</v>
      </c>
      <c r="D27" s="59">
        <v>3</v>
      </c>
      <c r="E27" s="59" t="s">
        <v>2</v>
      </c>
      <c r="F27" s="59">
        <v>900</v>
      </c>
      <c r="G27" s="60">
        <v>0</v>
      </c>
      <c r="H27" s="61">
        <f t="shared" si="0"/>
        <v>900</v>
      </c>
      <c r="I27" s="61">
        <f t="shared" si="1"/>
        <v>2700</v>
      </c>
    </row>
    <row r="28" spans="1:10" x14ac:dyDescent="0.25">
      <c r="A28" s="7">
        <v>6</v>
      </c>
      <c r="B28" s="4" t="s">
        <v>75</v>
      </c>
      <c r="C28" s="58" t="s">
        <v>71</v>
      </c>
      <c r="D28" s="59">
        <v>1</v>
      </c>
      <c r="E28" s="59" t="s">
        <v>2</v>
      </c>
      <c r="F28" s="59">
        <v>7665</v>
      </c>
      <c r="G28" s="60">
        <v>0.35</v>
      </c>
      <c r="H28" s="61">
        <f t="shared" si="0"/>
        <v>4982.25</v>
      </c>
      <c r="I28" s="61">
        <f t="shared" si="1"/>
        <v>4982.25</v>
      </c>
    </row>
    <row r="29" spans="1:10" x14ac:dyDescent="0.25">
      <c r="A29" s="7">
        <v>7</v>
      </c>
      <c r="B29" s="4" t="s">
        <v>34</v>
      </c>
      <c r="C29" s="58" t="s">
        <v>37</v>
      </c>
      <c r="D29" s="59">
        <v>1</v>
      </c>
      <c r="E29" s="59" t="s">
        <v>2</v>
      </c>
      <c r="F29" s="59">
        <v>8400</v>
      </c>
      <c r="G29" s="60">
        <v>0.5</v>
      </c>
      <c r="H29" s="61">
        <f t="shared" si="0"/>
        <v>4200</v>
      </c>
      <c r="I29" s="61">
        <f t="shared" si="1"/>
        <v>4200</v>
      </c>
    </row>
    <row r="30" spans="1:10" x14ac:dyDescent="0.25">
      <c r="A30" s="7">
        <v>8</v>
      </c>
      <c r="B30" s="69" t="s">
        <v>55</v>
      </c>
      <c r="C30" s="58" t="s">
        <v>71</v>
      </c>
      <c r="D30" s="59">
        <v>1</v>
      </c>
      <c r="E30" s="59" t="s">
        <v>2</v>
      </c>
      <c r="F30" s="59">
        <v>1080</v>
      </c>
      <c r="G30" s="60">
        <v>0.55000000000000004</v>
      </c>
      <c r="H30" s="61">
        <f t="shared" si="0"/>
        <v>485.99999999999994</v>
      </c>
      <c r="I30" s="61">
        <f t="shared" si="1"/>
        <v>485.99999999999994</v>
      </c>
    </row>
    <row r="31" spans="1:10" x14ac:dyDescent="0.25">
      <c r="A31" s="7">
        <v>9</v>
      </c>
      <c r="B31" s="4" t="s">
        <v>14</v>
      </c>
      <c r="C31" s="58" t="s">
        <v>5</v>
      </c>
      <c r="D31" s="59">
        <v>2</v>
      </c>
      <c r="E31" s="59" t="s">
        <v>2</v>
      </c>
      <c r="F31" s="59">
        <v>2400</v>
      </c>
      <c r="G31" s="60">
        <v>0</v>
      </c>
      <c r="H31" s="61">
        <f t="shared" si="0"/>
        <v>2400</v>
      </c>
      <c r="I31" s="61">
        <f t="shared" si="1"/>
        <v>4800</v>
      </c>
    </row>
    <row r="32" spans="1:10" x14ac:dyDescent="0.25">
      <c r="A32" s="7">
        <v>10</v>
      </c>
      <c r="B32" s="4" t="s">
        <v>15</v>
      </c>
      <c r="C32" s="58" t="s">
        <v>5</v>
      </c>
      <c r="D32" s="59">
        <v>2</v>
      </c>
      <c r="E32" s="59" t="s">
        <v>2</v>
      </c>
      <c r="F32" s="59">
        <v>100</v>
      </c>
      <c r="G32" s="60">
        <v>0</v>
      </c>
      <c r="H32" s="61">
        <f t="shared" si="0"/>
        <v>100</v>
      </c>
      <c r="I32" s="61">
        <f t="shared" si="1"/>
        <v>200</v>
      </c>
    </row>
    <row r="33" spans="1:14" x14ac:dyDescent="0.25">
      <c r="A33" s="7">
        <v>11</v>
      </c>
      <c r="B33" s="4" t="s">
        <v>16</v>
      </c>
      <c r="C33" s="58" t="s">
        <v>5</v>
      </c>
      <c r="D33" s="59">
        <v>2</v>
      </c>
      <c r="E33" s="59" t="s">
        <v>2</v>
      </c>
      <c r="F33" s="59">
        <v>750</v>
      </c>
      <c r="G33" s="60">
        <v>0</v>
      </c>
      <c r="H33" s="61">
        <f t="shared" si="0"/>
        <v>750</v>
      </c>
      <c r="I33" s="61">
        <f t="shared" si="1"/>
        <v>1500</v>
      </c>
      <c r="L33" t="s">
        <v>73</v>
      </c>
      <c r="M33">
        <f>6225*2</f>
        <v>12450</v>
      </c>
      <c r="N33">
        <f>4982*2</f>
        <v>9964</v>
      </c>
    </row>
    <row r="34" spans="1:14" x14ac:dyDescent="0.25">
      <c r="A34" s="7">
        <v>12</v>
      </c>
      <c r="B34" s="31" t="s">
        <v>115</v>
      </c>
      <c r="C34" s="16" t="s">
        <v>86</v>
      </c>
      <c r="D34" s="59">
        <v>1</v>
      </c>
      <c r="E34" s="59" t="s">
        <v>2</v>
      </c>
      <c r="F34" s="59">
        <v>150</v>
      </c>
      <c r="G34" s="60">
        <v>0</v>
      </c>
      <c r="H34" s="61">
        <f t="shared" si="0"/>
        <v>150</v>
      </c>
      <c r="I34" s="61">
        <f t="shared" si="1"/>
        <v>150</v>
      </c>
      <c r="L34" t="s">
        <v>72</v>
      </c>
      <c r="M34">
        <f>5900*12</f>
        <v>70800</v>
      </c>
      <c r="N34">
        <f>4413*12</f>
        <v>52956</v>
      </c>
    </row>
    <row r="35" spans="1:14" x14ac:dyDescent="0.25">
      <c r="A35" s="7">
        <v>13</v>
      </c>
      <c r="B35" s="31" t="s">
        <v>116</v>
      </c>
      <c r="C35" s="16" t="s">
        <v>86</v>
      </c>
      <c r="D35" s="59">
        <v>1</v>
      </c>
      <c r="E35" s="59" t="s">
        <v>2</v>
      </c>
      <c r="F35" s="59">
        <v>180</v>
      </c>
      <c r="G35" s="60">
        <v>0</v>
      </c>
      <c r="H35" s="61">
        <f t="shared" si="0"/>
        <v>180</v>
      </c>
      <c r="I35" s="61">
        <f t="shared" si="1"/>
        <v>180</v>
      </c>
      <c r="M35">
        <f>SUM(M33:M34)</f>
        <v>83250</v>
      </c>
      <c r="N35">
        <f>SUM(N33:N34)</f>
        <v>62920</v>
      </c>
    </row>
    <row r="36" spans="1:14" x14ac:dyDescent="0.25">
      <c r="A36" s="7">
        <v>14</v>
      </c>
      <c r="B36" s="35" t="s">
        <v>36</v>
      </c>
      <c r="C36" s="58" t="s">
        <v>71</v>
      </c>
      <c r="D36" s="59">
        <v>1</v>
      </c>
      <c r="E36" s="59" t="s">
        <v>2</v>
      </c>
      <c r="F36" s="59">
        <v>1800</v>
      </c>
      <c r="G36" s="60">
        <v>0</v>
      </c>
      <c r="H36" s="61">
        <f t="shared" si="0"/>
        <v>1800</v>
      </c>
      <c r="I36" s="61">
        <f t="shared" si="1"/>
        <v>1800</v>
      </c>
      <c r="M36">
        <v>19000</v>
      </c>
      <c r="N36">
        <v>19000</v>
      </c>
    </row>
    <row r="37" spans="1:14" x14ac:dyDescent="0.25">
      <c r="A37" s="7">
        <v>15</v>
      </c>
      <c r="B37" s="35" t="s">
        <v>35</v>
      </c>
      <c r="C37" s="58" t="s">
        <v>71</v>
      </c>
      <c r="D37" s="59">
        <v>1</v>
      </c>
      <c r="E37" s="59" t="s">
        <v>2</v>
      </c>
      <c r="F37" s="59">
        <v>315</v>
      </c>
      <c r="G37" s="60">
        <v>0.35</v>
      </c>
      <c r="H37" s="61">
        <f t="shared" si="0"/>
        <v>204.75</v>
      </c>
      <c r="I37" s="61">
        <f t="shared" si="1"/>
        <v>204.75</v>
      </c>
      <c r="M37">
        <f>SUM(M35:M36)</f>
        <v>102250</v>
      </c>
    </row>
    <row r="38" spans="1:14" x14ac:dyDescent="0.25">
      <c r="A38" s="7">
        <v>16</v>
      </c>
      <c r="B38" s="35" t="s">
        <v>49</v>
      </c>
      <c r="C38" s="39" t="s">
        <v>51</v>
      </c>
      <c r="D38" s="59">
        <v>1</v>
      </c>
      <c r="E38" s="59" t="s">
        <v>2</v>
      </c>
      <c r="F38" s="59">
        <v>4500</v>
      </c>
      <c r="G38" s="60">
        <v>0</v>
      </c>
      <c r="H38" s="61">
        <f t="shared" si="0"/>
        <v>4500</v>
      </c>
      <c r="I38" s="61">
        <f t="shared" si="1"/>
        <v>4500</v>
      </c>
    </row>
    <row r="39" spans="1:14" x14ac:dyDescent="0.25">
      <c r="A39" s="7">
        <v>17</v>
      </c>
      <c r="B39" s="35" t="s">
        <v>50</v>
      </c>
      <c r="C39" s="39" t="s">
        <v>52</v>
      </c>
      <c r="D39" s="59">
        <v>1</v>
      </c>
      <c r="E39" s="59" t="s">
        <v>2</v>
      </c>
      <c r="F39" s="59">
        <v>800</v>
      </c>
      <c r="G39" s="60">
        <v>0</v>
      </c>
      <c r="H39" s="61">
        <f t="shared" si="0"/>
        <v>800</v>
      </c>
      <c r="I39" s="61">
        <f t="shared" si="1"/>
        <v>800</v>
      </c>
    </row>
    <row r="40" spans="1:14" x14ac:dyDescent="0.25">
      <c r="A40" s="7">
        <v>18</v>
      </c>
      <c r="B40" s="35" t="s">
        <v>94</v>
      </c>
      <c r="C40" s="39" t="s">
        <v>71</v>
      </c>
      <c r="D40" s="59">
        <v>1</v>
      </c>
      <c r="E40" s="59" t="s">
        <v>2</v>
      </c>
      <c r="F40" s="59">
        <v>2600</v>
      </c>
      <c r="G40" s="60">
        <v>0</v>
      </c>
      <c r="H40" s="61">
        <f t="shared" si="0"/>
        <v>2600</v>
      </c>
      <c r="I40" s="61">
        <f t="shared" si="1"/>
        <v>2600</v>
      </c>
      <c r="J40" t="s">
        <v>67</v>
      </c>
    </row>
    <row r="41" spans="1:14" x14ac:dyDescent="0.25">
      <c r="A41" s="7"/>
      <c r="B41" s="4"/>
      <c r="C41" s="58"/>
      <c r="D41" s="59"/>
      <c r="E41" s="59"/>
      <c r="F41" s="59"/>
      <c r="G41" s="60"/>
      <c r="H41" s="61"/>
      <c r="I41" s="61"/>
    </row>
    <row r="42" spans="1:14" x14ac:dyDescent="0.25">
      <c r="A42" s="7"/>
      <c r="B42" s="4" t="s">
        <v>17</v>
      </c>
      <c r="C42" s="58"/>
      <c r="D42" s="59"/>
      <c r="E42" s="59"/>
      <c r="F42" s="59"/>
      <c r="G42" s="60"/>
      <c r="H42" s="61"/>
      <c r="I42" s="61"/>
    </row>
    <row r="43" spans="1:14" x14ac:dyDescent="0.25">
      <c r="A43" s="7">
        <v>1</v>
      </c>
      <c r="B43" s="35" t="s">
        <v>87</v>
      </c>
      <c r="C43" s="39" t="s">
        <v>71</v>
      </c>
      <c r="D43" s="63">
        <v>1</v>
      </c>
      <c r="E43" s="59" t="s">
        <v>2</v>
      </c>
      <c r="F43" s="62">
        <v>73300</v>
      </c>
      <c r="G43" s="60">
        <v>0.55000000000000004</v>
      </c>
      <c r="H43" s="61">
        <f t="shared" si="0"/>
        <v>32985</v>
      </c>
      <c r="I43" s="61">
        <f t="shared" si="1"/>
        <v>32985</v>
      </c>
    </row>
    <row r="44" spans="1:14" x14ac:dyDescent="0.25">
      <c r="A44" s="7">
        <v>2</v>
      </c>
      <c r="B44" s="4" t="s">
        <v>77</v>
      </c>
      <c r="C44" s="58" t="s">
        <v>64</v>
      </c>
      <c r="D44" s="59">
        <v>3</v>
      </c>
      <c r="E44" s="59" t="s">
        <v>2</v>
      </c>
      <c r="F44" s="59">
        <v>600</v>
      </c>
      <c r="G44" s="60">
        <v>0</v>
      </c>
      <c r="H44" s="61">
        <f t="shared" si="0"/>
        <v>600</v>
      </c>
      <c r="I44" s="61">
        <f t="shared" si="1"/>
        <v>1800</v>
      </c>
      <c r="L44">
        <v>1800</v>
      </c>
    </row>
    <row r="45" spans="1:14" x14ac:dyDescent="0.25">
      <c r="A45" s="7">
        <v>3</v>
      </c>
      <c r="B45" s="4" t="s">
        <v>27</v>
      </c>
      <c r="C45" s="58" t="s">
        <v>71</v>
      </c>
      <c r="D45" s="59">
        <v>4</v>
      </c>
      <c r="E45" s="59" t="s">
        <v>2</v>
      </c>
      <c r="F45" s="59">
        <v>318</v>
      </c>
      <c r="G45" s="60">
        <v>0.55000000000000004</v>
      </c>
      <c r="H45" s="61">
        <f t="shared" si="0"/>
        <v>143.1</v>
      </c>
      <c r="I45" s="61">
        <f t="shared" si="1"/>
        <v>572.4</v>
      </c>
    </row>
    <row r="46" spans="1:14" x14ac:dyDescent="0.25">
      <c r="A46" s="7">
        <v>4</v>
      </c>
      <c r="B46" s="4" t="s">
        <v>11</v>
      </c>
      <c r="C46" s="16" t="s">
        <v>86</v>
      </c>
      <c r="D46" s="59">
        <v>1</v>
      </c>
      <c r="E46" s="59" t="s">
        <v>4</v>
      </c>
      <c r="F46" s="59">
        <v>210</v>
      </c>
      <c r="G46" s="60">
        <v>0</v>
      </c>
      <c r="H46" s="61">
        <f t="shared" si="0"/>
        <v>210</v>
      </c>
      <c r="I46" s="61">
        <f t="shared" si="1"/>
        <v>210</v>
      </c>
    </row>
    <row r="47" spans="1:14" x14ac:dyDescent="0.25">
      <c r="A47" s="7">
        <v>5</v>
      </c>
      <c r="B47" s="36" t="s">
        <v>102</v>
      </c>
      <c r="C47" s="58" t="s">
        <v>71</v>
      </c>
      <c r="D47" s="59">
        <v>1</v>
      </c>
      <c r="E47" s="59" t="s">
        <v>2</v>
      </c>
      <c r="F47" s="62">
        <v>4760</v>
      </c>
      <c r="G47" s="60">
        <v>0.55000000000000004</v>
      </c>
      <c r="H47" s="61">
        <f t="shared" si="0"/>
        <v>2142</v>
      </c>
      <c r="I47" s="61">
        <f t="shared" si="1"/>
        <v>2142</v>
      </c>
    </row>
    <row r="48" spans="1:14" x14ac:dyDescent="0.25">
      <c r="A48" s="7">
        <v>6</v>
      </c>
      <c r="B48" s="36" t="s">
        <v>101</v>
      </c>
      <c r="C48" s="58" t="s">
        <v>71</v>
      </c>
      <c r="D48" s="59">
        <v>1</v>
      </c>
      <c r="E48" s="59" t="s">
        <v>2</v>
      </c>
      <c r="F48" s="62">
        <v>13300</v>
      </c>
      <c r="G48" s="60">
        <v>0.55000000000000004</v>
      </c>
      <c r="H48" s="61">
        <f t="shared" si="0"/>
        <v>5984.9999999999991</v>
      </c>
      <c r="I48" s="61">
        <f t="shared" si="1"/>
        <v>5984.9999999999991</v>
      </c>
    </row>
    <row r="49" spans="1:12" x14ac:dyDescent="0.25">
      <c r="A49" s="7">
        <v>7</v>
      </c>
      <c r="B49" s="4" t="s">
        <v>6</v>
      </c>
      <c r="C49" s="58" t="s">
        <v>71</v>
      </c>
      <c r="D49" s="59">
        <v>1</v>
      </c>
      <c r="E49" s="59" t="s">
        <v>2</v>
      </c>
      <c r="F49" s="62">
        <v>1200</v>
      </c>
      <c r="G49" s="60">
        <v>0.4</v>
      </c>
      <c r="H49" s="61">
        <f t="shared" si="0"/>
        <v>720</v>
      </c>
      <c r="I49" s="61">
        <f t="shared" si="1"/>
        <v>720</v>
      </c>
    </row>
    <row r="50" spans="1:12" x14ac:dyDescent="0.25">
      <c r="A50" s="7">
        <v>8</v>
      </c>
      <c r="B50" s="4" t="s">
        <v>74</v>
      </c>
      <c r="C50" s="58" t="s">
        <v>71</v>
      </c>
      <c r="D50" s="59">
        <v>1</v>
      </c>
      <c r="E50" s="59" t="s">
        <v>2</v>
      </c>
      <c r="F50" s="59">
        <v>6790</v>
      </c>
      <c r="G50" s="60">
        <v>0.35</v>
      </c>
      <c r="H50" s="61">
        <f t="shared" si="0"/>
        <v>4413.5</v>
      </c>
      <c r="I50" s="61">
        <f t="shared" si="1"/>
        <v>4413.5</v>
      </c>
    </row>
    <row r="51" spans="1:12" x14ac:dyDescent="0.25">
      <c r="A51" s="7"/>
      <c r="B51" s="74"/>
      <c r="C51" s="58"/>
      <c r="D51" s="59"/>
      <c r="E51" s="59"/>
      <c r="F51" s="62"/>
      <c r="G51" s="60"/>
      <c r="H51" s="61"/>
      <c r="I51" s="61"/>
    </row>
    <row r="52" spans="1:12" x14ac:dyDescent="0.25">
      <c r="A52" s="7">
        <v>1</v>
      </c>
      <c r="B52" s="35" t="s">
        <v>40</v>
      </c>
      <c r="C52" s="39" t="s">
        <v>71</v>
      </c>
      <c r="D52" s="63">
        <v>1</v>
      </c>
      <c r="E52" s="68" t="s">
        <v>2</v>
      </c>
      <c r="F52" s="62">
        <v>51700</v>
      </c>
      <c r="G52" s="60">
        <v>0.55000000000000004</v>
      </c>
      <c r="H52" s="61">
        <f t="shared" si="0"/>
        <v>23264.999999999996</v>
      </c>
      <c r="I52" s="61">
        <f t="shared" si="1"/>
        <v>23264.999999999996</v>
      </c>
    </row>
    <row r="53" spans="1:12" x14ac:dyDescent="0.25">
      <c r="A53" s="7">
        <v>2</v>
      </c>
      <c r="B53" s="4" t="s">
        <v>79</v>
      </c>
      <c r="C53" s="58" t="s">
        <v>64</v>
      </c>
      <c r="D53" s="59">
        <v>3</v>
      </c>
      <c r="E53" s="68" t="s">
        <v>2</v>
      </c>
      <c r="F53" s="59">
        <v>600</v>
      </c>
      <c r="G53" s="60">
        <v>0</v>
      </c>
      <c r="H53" s="61">
        <f t="shared" si="0"/>
        <v>600</v>
      </c>
      <c r="I53" s="61">
        <f t="shared" si="1"/>
        <v>1800</v>
      </c>
      <c r="L53">
        <v>1800</v>
      </c>
    </row>
    <row r="54" spans="1:12" x14ac:dyDescent="0.25">
      <c r="A54" s="7">
        <v>3</v>
      </c>
      <c r="B54" s="4" t="s">
        <v>27</v>
      </c>
      <c r="C54" s="58" t="s">
        <v>71</v>
      </c>
      <c r="D54" s="59">
        <v>4</v>
      </c>
      <c r="E54" s="59" t="s">
        <v>2</v>
      </c>
      <c r="F54" s="59">
        <v>318</v>
      </c>
      <c r="G54" s="60">
        <v>0.55000000000000004</v>
      </c>
      <c r="H54" s="61">
        <f t="shared" si="0"/>
        <v>143.1</v>
      </c>
      <c r="I54" s="61">
        <f t="shared" si="1"/>
        <v>572.4</v>
      </c>
    </row>
    <row r="55" spans="1:12" x14ac:dyDescent="0.25">
      <c r="A55" s="7">
        <v>4</v>
      </c>
      <c r="B55" s="4" t="s">
        <v>11</v>
      </c>
      <c r="C55" s="58" t="s">
        <v>86</v>
      </c>
      <c r="D55" s="59">
        <v>1</v>
      </c>
      <c r="E55" s="59" t="s">
        <v>4</v>
      </c>
      <c r="F55" s="59">
        <v>210</v>
      </c>
      <c r="G55" s="60">
        <v>0</v>
      </c>
      <c r="H55" s="61">
        <f t="shared" si="0"/>
        <v>210</v>
      </c>
      <c r="I55" s="61">
        <f t="shared" si="1"/>
        <v>210</v>
      </c>
    </row>
    <row r="56" spans="1:12" x14ac:dyDescent="0.25">
      <c r="A56" s="7">
        <v>5</v>
      </c>
      <c r="B56" s="36" t="s">
        <v>103</v>
      </c>
      <c r="C56" s="58" t="s">
        <v>71</v>
      </c>
      <c r="D56" s="59">
        <v>1</v>
      </c>
      <c r="E56" s="59" t="s">
        <v>2</v>
      </c>
      <c r="F56" s="62">
        <v>4680</v>
      </c>
      <c r="G56" s="60">
        <v>0.53</v>
      </c>
      <c r="H56" s="61">
        <f t="shared" si="0"/>
        <v>2199.6</v>
      </c>
      <c r="I56" s="61">
        <f t="shared" si="1"/>
        <v>2199.6</v>
      </c>
    </row>
    <row r="57" spans="1:12" x14ac:dyDescent="0.25">
      <c r="A57" s="7">
        <v>6</v>
      </c>
      <c r="B57" s="36" t="s">
        <v>104</v>
      </c>
      <c r="C57" s="58" t="s">
        <v>71</v>
      </c>
      <c r="D57" s="59">
        <v>1</v>
      </c>
      <c r="E57" s="59" t="s">
        <v>2</v>
      </c>
      <c r="F57" s="62">
        <v>6310</v>
      </c>
      <c r="G57" s="60">
        <v>0.53</v>
      </c>
      <c r="H57" s="61">
        <f t="shared" si="0"/>
        <v>2965.7</v>
      </c>
      <c r="I57" s="61">
        <f t="shared" si="1"/>
        <v>2965.7</v>
      </c>
    </row>
    <row r="58" spans="1:12" x14ac:dyDescent="0.25">
      <c r="A58" s="7">
        <v>7</v>
      </c>
      <c r="B58" s="4" t="s">
        <v>6</v>
      </c>
      <c r="C58" s="58" t="s">
        <v>71</v>
      </c>
      <c r="D58" s="59">
        <v>1</v>
      </c>
      <c r="E58" s="59" t="s">
        <v>2</v>
      </c>
      <c r="F58" s="62">
        <v>1200</v>
      </c>
      <c r="G58" s="60">
        <v>0.4</v>
      </c>
      <c r="H58" s="61">
        <f t="shared" si="0"/>
        <v>720</v>
      </c>
      <c r="I58" s="61">
        <f t="shared" si="1"/>
        <v>720</v>
      </c>
    </row>
    <row r="59" spans="1:12" x14ac:dyDescent="0.25">
      <c r="A59" s="7">
        <v>8</v>
      </c>
      <c r="B59" s="4" t="s">
        <v>74</v>
      </c>
      <c r="C59" s="58" t="s">
        <v>71</v>
      </c>
      <c r="D59" s="59">
        <v>1</v>
      </c>
      <c r="E59" s="59" t="s">
        <v>2</v>
      </c>
      <c r="F59" s="59">
        <v>6790</v>
      </c>
      <c r="G59" s="60">
        <v>0.35</v>
      </c>
      <c r="H59" s="61">
        <f t="shared" si="0"/>
        <v>4413.5</v>
      </c>
      <c r="I59" s="61">
        <f t="shared" si="1"/>
        <v>4413.5</v>
      </c>
    </row>
    <row r="60" spans="1:12" x14ac:dyDescent="0.25">
      <c r="A60" s="7"/>
      <c r="B60" s="4"/>
      <c r="C60" s="58"/>
      <c r="D60" s="59"/>
      <c r="E60" s="59"/>
      <c r="F60" s="59"/>
      <c r="G60" s="60"/>
      <c r="H60" s="61"/>
      <c r="I60" s="61"/>
    </row>
    <row r="61" spans="1:12" x14ac:dyDescent="0.25">
      <c r="A61" s="7">
        <v>1</v>
      </c>
      <c r="B61" s="35" t="s">
        <v>44</v>
      </c>
      <c r="C61" s="39" t="s">
        <v>71</v>
      </c>
      <c r="D61" s="63">
        <v>1</v>
      </c>
      <c r="E61" s="59" t="s">
        <v>2</v>
      </c>
      <c r="F61" s="62">
        <v>73300</v>
      </c>
      <c r="G61" s="60">
        <v>0.55000000000000004</v>
      </c>
      <c r="H61" s="61">
        <f t="shared" si="0"/>
        <v>32985</v>
      </c>
      <c r="I61" s="61">
        <f t="shared" si="1"/>
        <v>32985</v>
      </c>
    </row>
    <row r="62" spans="1:12" x14ac:dyDescent="0.25">
      <c r="A62" s="7">
        <v>2</v>
      </c>
      <c r="B62" s="4" t="s">
        <v>77</v>
      </c>
      <c r="C62" s="58" t="s">
        <v>64</v>
      </c>
      <c r="D62" s="59">
        <v>3</v>
      </c>
      <c r="E62" s="59" t="s">
        <v>2</v>
      </c>
      <c r="F62" s="59">
        <v>600</v>
      </c>
      <c r="G62" s="60">
        <v>0</v>
      </c>
      <c r="H62" s="61">
        <f t="shared" si="0"/>
        <v>600</v>
      </c>
      <c r="I62" s="61">
        <f t="shared" si="1"/>
        <v>1800</v>
      </c>
      <c r="L62">
        <v>1800</v>
      </c>
    </row>
    <row r="63" spans="1:12" x14ac:dyDescent="0.25">
      <c r="A63" s="7">
        <v>3</v>
      </c>
      <c r="B63" s="4" t="s">
        <v>27</v>
      </c>
      <c r="C63" s="58" t="s">
        <v>71</v>
      </c>
      <c r="D63" s="59">
        <v>4</v>
      </c>
      <c r="E63" s="59" t="s">
        <v>2</v>
      </c>
      <c r="F63" s="59">
        <v>318</v>
      </c>
      <c r="G63" s="60">
        <v>0.55000000000000004</v>
      </c>
      <c r="H63" s="61">
        <f t="shared" si="0"/>
        <v>143.1</v>
      </c>
      <c r="I63" s="61">
        <f t="shared" si="1"/>
        <v>572.4</v>
      </c>
    </row>
    <row r="64" spans="1:12" x14ac:dyDescent="0.25">
      <c r="A64" s="7">
        <v>4</v>
      </c>
      <c r="B64" s="4" t="s">
        <v>11</v>
      </c>
      <c r="C64" s="58" t="s">
        <v>86</v>
      </c>
      <c r="D64" s="59">
        <v>1</v>
      </c>
      <c r="E64" s="59" t="s">
        <v>4</v>
      </c>
      <c r="F64" s="59">
        <v>210</v>
      </c>
      <c r="G64" s="60">
        <v>0</v>
      </c>
      <c r="H64" s="61">
        <f t="shared" si="0"/>
        <v>210</v>
      </c>
      <c r="I64" s="61">
        <f t="shared" si="1"/>
        <v>210</v>
      </c>
    </row>
    <row r="65" spans="1:12" x14ac:dyDescent="0.25">
      <c r="A65" s="7">
        <v>5</v>
      </c>
      <c r="B65" s="36" t="s">
        <v>100</v>
      </c>
      <c r="C65" s="58" t="s">
        <v>71</v>
      </c>
      <c r="D65" s="59">
        <v>1</v>
      </c>
      <c r="E65" s="59" t="s">
        <v>2</v>
      </c>
      <c r="F65" s="62">
        <v>4760</v>
      </c>
      <c r="G65" s="60">
        <v>0.55000000000000004</v>
      </c>
      <c r="H65" s="61">
        <f t="shared" si="0"/>
        <v>2142</v>
      </c>
      <c r="I65" s="61">
        <f t="shared" si="1"/>
        <v>2142</v>
      </c>
    </row>
    <row r="66" spans="1:12" x14ac:dyDescent="0.25">
      <c r="A66" s="7">
        <v>6</v>
      </c>
      <c r="B66" s="36" t="s">
        <v>101</v>
      </c>
      <c r="C66" s="58" t="s">
        <v>71</v>
      </c>
      <c r="D66" s="59">
        <v>1</v>
      </c>
      <c r="E66" s="59" t="s">
        <v>2</v>
      </c>
      <c r="F66" s="62">
        <v>13300</v>
      </c>
      <c r="G66" s="60">
        <v>0.55000000000000004</v>
      </c>
      <c r="H66" s="61">
        <f t="shared" si="0"/>
        <v>5984.9999999999991</v>
      </c>
      <c r="I66" s="61">
        <f t="shared" si="1"/>
        <v>5984.9999999999991</v>
      </c>
    </row>
    <row r="67" spans="1:12" x14ac:dyDescent="0.25">
      <c r="A67" s="7">
        <v>7</v>
      </c>
      <c r="B67" s="4" t="s">
        <v>6</v>
      </c>
      <c r="C67" s="58" t="s">
        <v>71</v>
      </c>
      <c r="D67" s="59">
        <v>1</v>
      </c>
      <c r="E67" s="59" t="s">
        <v>2</v>
      </c>
      <c r="F67" s="62">
        <v>1200</v>
      </c>
      <c r="G67" s="60">
        <v>0.4</v>
      </c>
      <c r="H67" s="61">
        <f t="shared" si="0"/>
        <v>720</v>
      </c>
      <c r="I67" s="61">
        <f t="shared" si="1"/>
        <v>720</v>
      </c>
    </row>
    <row r="68" spans="1:12" x14ac:dyDescent="0.25">
      <c r="A68" s="7">
        <v>8</v>
      </c>
      <c r="B68" s="4" t="s">
        <v>74</v>
      </c>
      <c r="C68" s="58" t="s">
        <v>71</v>
      </c>
      <c r="D68" s="59">
        <v>1</v>
      </c>
      <c r="E68" s="59" t="s">
        <v>2</v>
      </c>
      <c r="F68" s="59">
        <v>6790</v>
      </c>
      <c r="G68" s="60">
        <v>0.35</v>
      </c>
      <c r="H68" s="61">
        <f t="shared" si="0"/>
        <v>4413.5</v>
      </c>
      <c r="I68" s="61">
        <f t="shared" si="1"/>
        <v>4413.5</v>
      </c>
    </row>
    <row r="69" spans="1:12" x14ac:dyDescent="0.25">
      <c r="A69" s="7"/>
      <c r="B69" s="35"/>
      <c r="C69" s="58"/>
      <c r="D69" s="59"/>
      <c r="E69" s="59"/>
      <c r="F69" s="62"/>
      <c r="G69" s="60"/>
      <c r="H69" s="61"/>
      <c r="I69" s="61"/>
    </row>
    <row r="70" spans="1:12" x14ac:dyDescent="0.25">
      <c r="A70" s="7">
        <v>1</v>
      </c>
      <c r="B70" s="35" t="s">
        <v>38</v>
      </c>
      <c r="C70" s="39" t="s">
        <v>71</v>
      </c>
      <c r="D70" s="63">
        <v>1</v>
      </c>
      <c r="E70" s="59" t="s">
        <v>2</v>
      </c>
      <c r="F70" s="62">
        <v>40900</v>
      </c>
      <c r="G70" s="60">
        <v>0.55000000000000004</v>
      </c>
      <c r="H70" s="61">
        <f t="shared" ref="H70:H131" si="2">F70*(1-G70)</f>
        <v>18405</v>
      </c>
      <c r="I70" s="61">
        <f t="shared" ref="I70:I131" si="3">D70*H70</f>
        <v>18405</v>
      </c>
    </row>
    <row r="71" spans="1:12" x14ac:dyDescent="0.25">
      <c r="A71" s="7">
        <v>2</v>
      </c>
      <c r="B71" s="4" t="s">
        <v>80</v>
      </c>
      <c r="C71" s="58" t="s">
        <v>64</v>
      </c>
      <c r="D71" s="59">
        <v>3</v>
      </c>
      <c r="E71" s="59" t="s">
        <v>2</v>
      </c>
      <c r="F71" s="59">
        <v>600</v>
      </c>
      <c r="G71" s="60">
        <v>0</v>
      </c>
      <c r="H71" s="61">
        <f t="shared" si="2"/>
        <v>600</v>
      </c>
      <c r="I71" s="61">
        <f t="shared" si="3"/>
        <v>1800</v>
      </c>
      <c r="L71">
        <v>900</v>
      </c>
    </row>
    <row r="72" spans="1:12" x14ac:dyDescent="0.25">
      <c r="A72" s="7">
        <v>3</v>
      </c>
      <c r="B72" s="4" t="s">
        <v>27</v>
      </c>
      <c r="C72" s="58" t="s">
        <v>71</v>
      </c>
      <c r="D72" s="59">
        <v>4</v>
      </c>
      <c r="E72" s="59" t="s">
        <v>2</v>
      </c>
      <c r="F72" s="59">
        <v>318</v>
      </c>
      <c r="G72" s="60">
        <v>0.55000000000000004</v>
      </c>
      <c r="H72" s="61">
        <f t="shared" si="2"/>
        <v>143.1</v>
      </c>
      <c r="I72" s="61">
        <f t="shared" si="3"/>
        <v>572.4</v>
      </c>
    </row>
    <row r="73" spans="1:12" x14ac:dyDescent="0.25">
      <c r="A73" s="7">
        <v>4</v>
      </c>
      <c r="B73" s="4" t="s">
        <v>11</v>
      </c>
      <c r="C73" s="58" t="s">
        <v>86</v>
      </c>
      <c r="D73" s="59">
        <v>1</v>
      </c>
      <c r="E73" s="59" t="s">
        <v>4</v>
      </c>
      <c r="F73" s="59">
        <v>210</v>
      </c>
      <c r="G73" s="60">
        <v>0</v>
      </c>
      <c r="H73" s="61">
        <f t="shared" si="2"/>
        <v>210</v>
      </c>
      <c r="I73" s="61">
        <f t="shared" si="3"/>
        <v>210</v>
      </c>
    </row>
    <row r="74" spans="1:12" x14ac:dyDescent="0.25">
      <c r="A74" s="7">
        <v>5</v>
      </c>
      <c r="B74" s="36" t="s">
        <v>105</v>
      </c>
      <c r="C74" s="58" t="s">
        <v>71</v>
      </c>
      <c r="D74" s="59">
        <v>1</v>
      </c>
      <c r="E74" s="59" t="s">
        <v>2</v>
      </c>
      <c r="F74" s="62">
        <v>4760</v>
      </c>
      <c r="G74" s="60">
        <v>0.55000000000000004</v>
      </c>
      <c r="H74" s="61">
        <f t="shared" si="2"/>
        <v>2142</v>
      </c>
      <c r="I74" s="61">
        <f t="shared" si="3"/>
        <v>2142</v>
      </c>
    </row>
    <row r="75" spans="1:12" x14ac:dyDescent="0.25">
      <c r="A75" s="7">
        <v>6</v>
      </c>
      <c r="B75" s="36" t="s">
        <v>106</v>
      </c>
      <c r="C75" s="58" t="s">
        <v>71</v>
      </c>
      <c r="D75" s="59">
        <v>1</v>
      </c>
      <c r="E75" s="59" t="s">
        <v>2</v>
      </c>
      <c r="F75" s="62">
        <v>6310</v>
      </c>
      <c r="G75" s="60">
        <v>0.55000000000000004</v>
      </c>
      <c r="H75" s="61">
        <f t="shared" si="2"/>
        <v>2839.4999999999995</v>
      </c>
      <c r="I75" s="61">
        <f t="shared" si="3"/>
        <v>2839.4999999999995</v>
      </c>
    </row>
    <row r="76" spans="1:12" x14ac:dyDescent="0.25">
      <c r="A76" s="7">
        <v>7</v>
      </c>
      <c r="B76" s="4" t="s">
        <v>6</v>
      </c>
      <c r="C76" s="58" t="s">
        <v>71</v>
      </c>
      <c r="D76" s="59">
        <v>1</v>
      </c>
      <c r="E76" s="59" t="s">
        <v>2</v>
      </c>
      <c r="F76" s="62">
        <v>1200</v>
      </c>
      <c r="G76" s="60">
        <v>0.4</v>
      </c>
      <c r="H76" s="61">
        <f t="shared" si="2"/>
        <v>720</v>
      </c>
      <c r="I76" s="61">
        <f t="shared" si="3"/>
        <v>720</v>
      </c>
    </row>
    <row r="77" spans="1:12" x14ac:dyDescent="0.25">
      <c r="A77" s="7">
        <v>8</v>
      </c>
      <c r="B77" s="4" t="s">
        <v>74</v>
      </c>
      <c r="C77" s="58" t="s">
        <v>71</v>
      </c>
      <c r="D77" s="59">
        <v>1</v>
      </c>
      <c r="E77" s="59" t="s">
        <v>2</v>
      </c>
      <c r="F77" s="59">
        <v>6790</v>
      </c>
      <c r="G77" s="60">
        <v>0.35</v>
      </c>
      <c r="H77" s="61">
        <f t="shared" si="2"/>
        <v>4413.5</v>
      </c>
      <c r="I77" s="61">
        <f t="shared" si="3"/>
        <v>4413.5</v>
      </c>
    </row>
    <row r="78" spans="1:12" x14ac:dyDescent="0.25">
      <c r="A78" s="7"/>
      <c r="B78" s="35"/>
      <c r="C78" s="58"/>
      <c r="D78" s="59"/>
      <c r="E78" s="59"/>
      <c r="F78" s="62"/>
      <c r="G78" s="60"/>
      <c r="H78" s="61"/>
      <c r="I78" s="61"/>
    </row>
    <row r="79" spans="1:12" x14ac:dyDescent="0.25">
      <c r="A79" s="7">
        <v>1</v>
      </c>
      <c r="B79" s="35" t="s">
        <v>38</v>
      </c>
      <c r="C79" s="39" t="s">
        <v>71</v>
      </c>
      <c r="D79" s="63">
        <v>1</v>
      </c>
      <c r="E79" s="59" t="s">
        <v>2</v>
      </c>
      <c r="F79" s="62">
        <v>40900</v>
      </c>
      <c r="G79" s="60">
        <v>0.55000000000000004</v>
      </c>
      <c r="H79" s="61">
        <f t="shared" si="2"/>
        <v>18405</v>
      </c>
      <c r="I79" s="61">
        <f t="shared" si="3"/>
        <v>18405</v>
      </c>
    </row>
    <row r="80" spans="1:12" x14ac:dyDescent="0.25">
      <c r="A80" s="7">
        <v>2</v>
      </c>
      <c r="B80" s="4" t="s">
        <v>80</v>
      </c>
      <c r="C80" s="58" t="s">
        <v>64</v>
      </c>
      <c r="D80" s="59">
        <v>3</v>
      </c>
      <c r="E80" s="59" t="s">
        <v>2</v>
      </c>
      <c r="F80" s="59">
        <v>600</v>
      </c>
      <c r="G80" s="60">
        <v>0</v>
      </c>
      <c r="H80" s="61">
        <f t="shared" si="2"/>
        <v>600</v>
      </c>
      <c r="I80" s="61">
        <f t="shared" si="3"/>
        <v>1800</v>
      </c>
      <c r="L80">
        <v>900</v>
      </c>
    </row>
    <row r="81" spans="1:12" x14ac:dyDescent="0.25">
      <c r="A81" s="7">
        <v>3</v>
      </c>
      <c r="B81" s="4" t="s">
        <v>27</v>
      </c>
      <c r="C81" s="58" t="s">
        <v>71</v>
      </c>
      <c r="D81" s="59">
        <v>4</v>
      </c>
      <c r="E81" s="59" t="s">
        <v>2</v>
      </c>
      <c r="F81" s="59">
        <v>318</v>
      </c>
      <c r="G81" s="60">
        <v>0.55000000000000004</v>
      </c>
      <c r="H81" s="61">
        <f t="shared" si="2"/>
        <v>143.1</v>
      </c>
      <c r="I81" s="61">
        <f t="shared" si="3"/>
        <v>572.4</v>
      </c>
    </row>
    <row r="82" spans="1:12" x14ac:dyDescent="0.25">
      <c r="A82" s="7">
        <v>4</v>
      </c>
      <c r="B82" s="4" t="s">
        <v>11</v>
      </c>
      <c r="C82" s="58" t="s">
        <v>86</v>
      </c>
      <c r="D82" s="59">
        <v>1</v>
      </c>
      <c r="E82" s="59" t="s">
        <v>4</v>
      </c>
      <c r="F82" s="59">
        <v>210</v>
      </c>
      <c r="G82" s="60">
        <v>0</v>
      </c>
      <c r="H82" s="61">
        <f t="shared" si="2"/>
        <v>210</v>
      </c>
      <c r="I82" s="61">
        <f t="shared" si="3"/>
        <v>210</v>
      </c>
    </row>
    <row r="83" spans="1:12" x14ac:dyDescent="0.25">
      <c r="A83" s="7">
        <v>5</v>
      </c>
      <c r="B83" s="36" t="s">
        <v>105</v>
      </c>
      <c r="C83" s="58" t="s">
        <v>71</v>
      </c>
      <c r="D83" s="59">
        <v>1</v>
      </c>
      <c r="E83" s="59" t="s">
        <v>2</v>
      </c>
      <c r="F83" s="62">
        <v>4760</v>
      </c>
      <c r="G83" s="60">
        <v>0.55000000000000004</v>
      </c>
      <c r="H83" s="61">
        <f t="shared" si="2"/>
        <v>2142</v>
      </c>
      <c r="I83" s="61">
        <f t="shared" si="3"/>
        <v>2142</v>
      </c>
      <c r="L83" s="5"/>
    </row>
    <row r="84" spans="1:12" x14ac:dyDescent="0.25">
      <c r="A84" s="7">
        <v>6</v>
      </c>
      <c r="B84" s="36" t="s">
        <v>106</v>
      </c>
      <c r="C84" s="58" t="s">
        <v>71</v>
      </c>
      <c r="D84" s="59">
        <v>1</v>
      </c>
      <c r="E84" s="59" t="s">
        <v>2</v>
      </c>
      <c r="F84" s="62">
        <v>6310</v>
      </c>
      <c r="G84" s="60">
        <v>0.55000000000000004</v>
      </c>
      <c r="H84" s="61">
        <f t="shared" si="2"/>
        <v>2839.4999999999995</v>
      </c>
      <c r="I84" s="61">
        <f t="shared" si="3"/>
        <v>2839.4999999999995</v>
      </c>
      <c r="L84" s="5"/>
    </row>
    <row r="85" spans="1:12" x14ac:dyDescent="0.25">
      <c r="A85" s="7">
        <v>7</v>
      </c>
      <c r="B85" s="4" t="s">
        <v>6</v>
      </c>
      <c r="C85" s="58" t="s">
        <v>71</v>
      </c>
      <c r="D85" s="59">
        <v>1</v>
      </c>
      <c r="E85" s="59" t="s">
        <v>2</v>
      </c>
      <c r="F85" s="62">
        <v>1200</v>
      </c>
      <c r="G85" s="60">
        <v>0.4</v>
      </c>
      <c r="H85" s="61">
        <f t="shared" si="2"/>
        <v>720</v>
      </c>
      <c r="I85" s="61">
        <f t="shared" si="3"/>
        <v>720</v>
      </c>
    </row>
    <row r="86" spans="1:12" x14ac:dyDescent="0.25">
      <c r="A86" s="7">
        <v>8</v>
      </c>
      <c r="B86" s="4" t="s">
        <v>74</v>
      </c>
      <c r="C86" s="58" t="s">
        <v>71</v>
      </c>
      <c r="D86" s="59">
        <v>1</v>
      </c>
      <c r="E86" s="59" t="s">
        <v>2</v>
      </c>
      <c r="F86" s="59">
        <v>6790</v>
      </c>
      <c r="G86" s="60">
        <v>0.35</v>
      </c>
      <c r="H86" s="61">
        <f t="shared" si="2"/>
        <v>4413.5</v>
      </c>
      <c r="I86" s="61">
        <f t="shared" si="3"/>
        <v>4413.5</v>
      </c>
    </row>
    <row r="87" spans="1:12" x14ac:dyDescent="0.25">
      <c r="A87" s="7"/>
      <c r="B87" s="4"/>
      <c r="C87" s="58"/>
      <c r="D87" s="59"/>
      <c r="E87" s="59"/>
      <c r="F87" s="59"/>
      <c r="G87" s="60"/>
      <c r="H87" s="61"/>
      <c r="I87" s="61"/>
    </row>
    <row r="88" spans="1:12" x14ac:dyDescent="0.25">
      <c r="A88" s="7">
        <v>1</v>
      </c>
      <c r="B88" s="35" t="s">
        <v>42</v>
      </c>
      <c r="C88" s="39" t="s">
        <v>71</v>
      </c>
      <c r="D88" s="63">
        <v>1</v>
      </c>
      <c r="E88" s="59" t="s">
        <v>2</v>
      </c>
      <c r="F88" s="62">
        <v>51700</v>
      </c>
      <c r="G88" s="60">
        <v>0.55000000000000004</v>
      </c>
      <c r="H88" s="61">
        <f t="shared" si="2"/>
        <v>23264.999999999996</v>
      </c>
      <c r="I88" s="61">
        <f t="shared" si="3"/>
        <v>23264.999999999996</v>
      </c>
    </row>
    <row r="89" spans="1:12" x14ac:dyDescent="0.25">
      <c r="A89" s="7">
        <v>2</v>
      </c>
      <c r="B89" s="4" t="s">
        <v>81</v>
      </c>
      <c r="C89" s="58" t="s">
        <v>64</v>
      </c>
      <c r="D89" s="59">
        <v>3</v>
      </c>
      <c r="E89" s="59" t="s">
        <v>2</v>
      </c>
      <c r="F89" s="59">
        <v>600</v>
      </c>
      <c r="G89" s="60">
        <v>0</v>
      </c>
      <c r="H89" s="61">
        <f t="shared" si="2"/>
        <v>600</v>
      </c>
      <c r="I89" s="61">
        <f t="shared" si="3"/>
        <v>1800</v>
      </c>
      <c r="L89">
        <v>1800</v>
      </c>
    </row>
    <row r="90" spans="1:12" x14ac:dyDescent="0.25">
      <c r="A90" s="7">
        <v>3</v>
      </c>
      <c r="B90" s="4" t="s">
        <v>27</v>
      </c>
      <c r="C90" s="58" t="s">
        <v>71</v>
      </c>
      <c r="D90" s="59">
        <v>4</v>
      </c>
      <c r="E90" s="59" t="s">
        <v>2</v>
      </c>
      <c r="F90" s="59">
        <v>318</v>
      </c>
      <c r="G90" s="60">
        <v>0.55000000000000004</v>
      </c>
      <c r="H90" s="61">
        <f t="shared" si="2"/>
        <v>143.1</v>
      </c>
      <c r="I90" s="61">
        <f t="shared" si="3"/>
        <v>572.4</v>
      </c>
    </row>
    <row r="91" spans="1:12" x14ac:dyDescent="0.25">
      <c r="A91" s="7">
        <v>4</v>
      </c>
      <c r="B91" s="4" t="s">
        <v>11</v>
      </c>
      <c r="C91" s="58" t="s">
        <v>86</v>
      </c>
      <c r="D91" s="59">
        <v>1</v>
      </c>
      <c r="E91" s="59" t="s">
        <v>4</v>
      </c>
      <c r="F91" s="59">
        <v>210</v>
      </c>
      <c r="G91" s="60">
        <v>0</v>
      </c>
      <c r="H91" s="61">
        <f t="shared" si="2"/>
        <v>210</v>
      </c>
      <c r="I91" s="61">
        <f t="shared" si="3"/>
        <v>210</v>
      </c>
    </row>
    <row r="92" spans="1:12" x14ac:dyDescent="0.25">
      <c r="A92" s="7">
        <v>5</v>
      </c>
      <c r="B92" s="36" t="s">
        <v>107</v>
      </c>
      <c r="C92" s="58" t="s">
        <v>71</v>
      </c>
      <c r="D92" s="59">
        <v>1</v>
      </c>
      <c r="E92" s="59" t="s">
        <v>2</v>
      </c>
      <c r="F92" s="62">
        <v>4760</v>
      </c>
      <c r="G92" s="60">
        <v>0.55000000000000004</v>
      </c>
      <c r="H92" s="61">
        <f t="shared" si="2"/>
        <v>2142</v>
      </c>
      <c r="I92" s="61">
        <f t="shared" si="3"/>
        <v>2142</v>
      </c>
    </row>
    <row r="93" spans="1:12" x14ac:dyDescent="0.25">
      <c r="A93" s="7">
        <v>6</v>
      </c>
      <c r="B93" s="36" t="s">
        <v>108</v>
      </c>
      <c r="C93" s="58" t="s">
        <v>71</v>
      </c>
      <c r="D93" s="59">
        <v>1</v>
      </c>
      <c r="E93" s="59" t="s">
        <v>2</v>
      </c>
      <c r="F93" s="62">
        <v>13300</v>
      </c>
      <c r="G93" s="60">
        <v>0.55000000000000004</v>
      </c>
      <c r="H93" s="61">
        <f t="shared" si="2"/>
        <v>5984.9999999999991</v>
      </c>
      <c r="I93" s="61">
        <f t="shared" si="3"/>
        <v>5984.9999999999991</v>
      </c>
    </row>
    <row r="94" spans="1:12" x14ac:dyDescent="0.25">
      <c r="A94" s="7">
        <v>7</v>
      </c>
      <c r="B94" s="4" t="s">
        <v>6</v>
      </c>
      <c r="C94" s="58" t="s">
        <v>71</v>
      </c>
      <c r="D94" s="59">
        <v>1</v>
      </c>
      <c r="E94" s="59" t="s">
        <v>2</v>
      </c>
      <c r="F94" s="62">
        <v>1200</v>
      </c>
      <c r="G94" s="60">
        <v>0.4</v>
      </c>
      <c r="H94" s="61">
        <f t="shared" si="2"/>
        <v>720</v>
      </c>
      <c r="I94" s="61">
        <f t="shared" si="3"/>
        <v>720</v>
      </c>
    </row>
    <row r="95" spans="1:12" x14ac:dyDescent="0.25">
      <c r="A95" s="7">
        <v>8</v>
      </c>
      <c r="B95" s="4" t="s">
        <v>74</v>
      </c>
      <c r="C95" s="58" t="s">
        <v>71</v>
      </c>
      <c r="D95" s="59">
        <v>1</v>
      </c>
      <c r="E95" s="59" t="s">
        <v>2</v>
      </c>
      <c r="F95" s="59">
        <v>6790</v>
      </c>
      <c r="G95" s="60">
        <v>0.35</v>
      </c>
      <c r="H95" s="61">
        <f t="shared" si="2"/>
        <v>4413.5</v>
      </c>
      <c r="I95" s="61">
        <f t="shared" si="3"/>
        <v>4413.5</v>
      </c>
    </row>
    <row r="96" spans="1:12" x14ac:dyDescent="0.25">
      <c r="A96" s="7"/>
      <c r="B96" s="4"/>
      <c r="C96" s="58"/>
      <c r="D96" s="59"/>
      <c r="E96" s="59"/>
      <c r="F96" s="59"/>
      <c r="G96" s="60"/>
      <c r="H96" s="61"/>
      <c r="I96" s="61"/>
    </row>
    <row r="97" spans="1:12" x14ac:dyDescent="0.25">
      <c r="A97" s="7">
        <v>1</v>
      </c>
      <c r="B97" s="35" t="s">
        <v>41</v>
      </c>
      <c r="C97" s="39" t="s">
        <v>71</v>
      </c>
      <c r="D97" s="63">
        <v>1</v>
      </c>
      <c r="E97" s="59" t="s">
        <v>2</v>
      </c>
      <c r="F97" s="62">
        <v>51700</v>
      </c>
      <c r="G97" s="60">
        <v>0.55000000000000004</v>
      </c>
      <c r="H97" s="61">
        <f t="shared" si="2"/>
        <v>23264.999999999996</v>
      </c>
      <c r="I97" s="61">
        <f t="shared" si="3"/>
        <v>23264.999999999996</v>
      </c>
    </row>
    <row r="98" spans="1:12" x14ac:dyDescent="0.25">
      <c r="A98" s="7">
        <v>2</v>
      </c>
      <c r="B98" s="4" t="s">
        <v>81</v>
      </c>
      <c r="C98" s="58" t="s">
        <v>64</v>
      </c>
      <c r="D98" s="59">
        <v>3</v>
      </c>
      <c r="E98" s="59" t="s">
        <v>2</v>
      </c>
      <c r="F98" s="59">
        <v>600</v>
      </c>
      <c r="G98" s="60">
        <v>0</v>
      </c>
      <c r="H98" s="61">
        <f t="shared" si="2"/>
        <v>600</v>
      </c>
      <c r="I98" s="61">
        <f t="shared" si="3"/>
        <v>1800</v>
      </c>
      <c r="L98">
        <v>1800</v>
      </c>
    </row>
    <row r="99" spans="1:12" x14ac:dyDescent="0.25">
      <c r="A99" s="7">
        <v>3</v>
      </c>
      <c r="B99" s="4" t="s">
        <v>27</v>
      </c>
      <c r="C99" s="58" t="s">
        <v>71</v>
      </c>
      <c r="D99" s="59">
        <v>4</v>
      </c>
      <c r="E99" s="59" t="s">
        <v>2</v>
      </c>
      <c r="F99" s="59">
        <v>318</v>
      </c>
      <c r="G99" s="60">
        <v>0.55000000000000004</v>
      </c>
      <c r="H99" s="61">
        <f t="shared" si="2"/>
        <v>143.1</v>
      </c>
      <c r="I99" s="61">
        <f t="shared" si="3"/>
        <v>572.4</v>
      </c>
    </row>
    <row r="100" spans="1:12" x14ac:dyDescent="0.25">
      <c r="A100" s="7">
        <v>4</v>
      </c>
      <c r="B100" s="4" t="s">
        <v>11</v>
      </c>
      <c r="C100" s="58" t="s">
        <v>86</v>
      </c>
      <c r="D100" s="59">
        <v>1</v>
      </c>
      <c r="E100" s="59" t="s">
        <v>4</v>
      </c>
      <c r="F100" s="59">
        <v>210</v>
      </c>
      <c r="G100" s="60">
        <v>0</v>
      </c>
      <c r="H100" s="61">
        <f t="shared" si="2"/>
        <v>210</v>
      </c>
      <c r="I100" s="61">
        <f t="shared" si="3"/>
        <v>210</v>
      </c>
    </row>
    <row r="101" spans="1:12" x14ac:dyDescent="0.25">
      <c r="A101" s="7">
        <v>5</v>
      </c>
      <c r="B101" s="36" t="s">
        <v>109</v>
      </c>
      <c r="C101" s="58" t="s">
        <v>71</v>
      </c>
      <c r="D101" s="59">
        <v>1</v>
      </c>
      <c r="E101" s="59" t="s">
        <v>2</v>
      </c>
      <c r="F101" s="62">
        <v>4760</v>
      </c>
      <c r="G101" s="60">
        <v>0.55000000000000004</v>
      </c>
      <c r="H101" s="61">
        <f t="shared" si="2"/>
        <v>2142</v>
      </c>
      <c r="I101" s="61">
        <f t="shared" si="3"/>
        <v>2142</v>
      </c>
    </row>
    <row r="102" spans="1:12" x14ac:dyDescent="0.25">
      <c r="A102" s="7">
        <v>6</v>
      </c>
      <c r="B102" s="36" t="s">
        <v>110</v>
      </c>
      <c r="C102" s="58" t="s">
        <v>71</v>
      </c>
      <c r="D102" s="59">
        <v>1</v>
      </c>
      <c r="E102" s="59" t="s">
        <v>2</v>
      </c>
      <c r="F102" s="62">
        <v>13300</v>
      </c>
      <c r="G102" s="60">
        <v>0.55000000000000004</v>
      </c>
      <c r="H102" s="61">
        <f t="shared" si="2"/>
        <v>5984.9999999999991</v>
      </c>
      <c r="I102" s="61">
        <f t="shared" si="3"/>
        <v>5984.9999999999991</v>
      </c>
    </row>
    <row r="103" spans="1:12" x14ac:dyDescent="0.25">
      <c r="A103" s="7">
        <v>7</v>
      </c>
      <c r="B103" s="4" t="s">
        <v>6</v>
      </c>
      <c r="C103" s="58" t="s">
        <v>71</v>
      </c>
      <c r="D103" s="59">
        <v>1</v>
      </c>
      <c r="E103" s="59" t="s">
        <v>2</v>
      </c>
      <c r="F103" s="62">
        <v>1200</v>
      </c>
      <c r="G103" s="60">
        <v>0.4</v>
      </c>
      <c r="H103" s="61">
        <f t="shared" si="2"/>
        <v>720</v>
      </c>
      <c r="I103" s="61">
        <f t="shared" si="3"/>
        <v>720</v>
      </c>
    </row>
    <row r="104" spans="1:12" x14ac:dyDescent="0.25">
      <c r="A104" s="7">
        <v>8</v>
      </c>
      <c r="B104" s="4" t="s">
        <v>74</v>
      </c>
      <c r="C104" s="58" t="s">
        <v>71</v>
      </c>
      <c r="D104" s="59">
        <v>1</v>
      </c>
      <c r="E104" s="59" t="s">
        <v>2</v>
      </c>
      <c r="F104" s="59">
        <v>6790</v>
      </c>
      <c r="G104" s="60">
        <v>0.35</v>
      </c>
      <c r="H104" s="61">
        <f t="shared" si="2"/>
        <v>4413.5</v>
      </c>
      <c r="I104" s="61">
        <f t="shared" si="3"/>
        <v>4413.5</v>
      </c>
    </row>
    <row r="105" spans="1:12" x14ac:dyDescent="0.25">
      <c r="A105" s="7"/>
      <c r="B105" s="4"/>
      <c r="C105" s="58"/>
      <c r="D105" s="59"/>
      <c r="E105" s="59"/>
      <c r="F105" s="59"/>
      <c r="G105" s="60"/>
      <c r="H105" s="61"/>
      <c r="I105" s="61"/>
    </row>
    <row r="106" spans="1:12" x14ac:dyDescent="0.25">
      <c r="A106" s="7">
        <v>1</v>
      </c>
      <c r="B106" s="35" t="s">
        <v>42</v>
      </c>
      <c r="C106" s="39" t="s">
        <v>71</v>
      </c>
      <c r="D106" s="63">
        <v>1</v>
      </c>
      <c r="E106" s="59" t="s">
        <v>2</v>
      </c>
      <c r="F106" s="62">
        <v>51700</v>
      </c>
      <c r="G106" s="60">
        <v>0.55000000000000004</v>
      </c>
      <c r="H106" s="61">
        <f t="shared" si="2"/>
        <v>23264.999999999996</v>
      </c>
      <c r="I106" s="61">
        <f t="shared" si="3"/>
        <v>23264.999999999996</v>
      </c>
    </row>
    <row r="107" spans="1:12" x14ac:dyDescent="0.25">
      <c r="A107" s="7">
        <v>2</v>
      </c>
      <c r="B107" s="4" t="s">
        <v>82</v>
      </c>
      <c r="C107" s="58" t="s">
        <v>64</v>
      </c>
      <c r="D107" s="59">
        <v>3</v>
      </c>
      <c r="E107" s="59" t="s">
        <v>2</v>
      </c>
      <c r="F107" s="59">
        <v>600</v>
      </c>
      <c r="G107" s="60">
        <v>0</v>
      </c>
      <c r="H107" s="61">
        <f t="shared" si="2"/>
        <v>600</v>
      </c>
      <c r="I107" s="61">
        <f t="shared" si="3"/>
        <v>1800</v>
      </c>
      <c r="L107">
        <v>1800</v>
      </c>
    </row>
    <row r="108" spans="1:12" x14ac:dyDescent="0.25">
      <c r="A108" s="7">
        <v>3</v>
      </c>
      <c r="B108" s="4" t="s">
        <v>27</v>
      </c>
      <c r="C108" s="58" t="s">
        <v>71</v>
      </c>
      <c r="D108" s="59">
        <v>4</v>
      </c>
      <c r="E108" s="59" t="s">
        <v>2</v>
      </c>
      <c r="F108" s="59">
        <v>318</v>
      </c>
      <c r="G108" s="60">
        <v>0.55000000000000004</v>
      </c>
      <c r="H108" s="61">
        <f t="shared" si="2"/>
        <v>143.1</v>
      </c>
      <c r="I108" s="61">
        <f t="shared" si="3"/>
        <v>572.4</v>
      </c>
    </row>
    <row r="109" spans="1:12" x14ac:dyDescent="0.25">
      <c r="A109" s="7">
        <v>4</v>
      </c>
      <c r="B109" s="4" t="s">
        <v>11</v>
      </c>
      <c r="C109" s="58" t="s">
        <v>86</v>
      </c>
      <c r="D109" s="59">
        <v>1</v>
      </c>
      <c r="E109" s="59" t="s">
        <v>4</v>
      </c>
      <c r="F109" s="59">
        <v>210</v>
      </c>
      <c r="G109" s="60">
        <v>0</v>
      </c>
      <c r="H109" s="61">
        <f t="shared" si="2"/>
        <v>210</v>
      </c>
      <c r="I109" s="61">
        <f t="shared" si="3"/>
        <v>210</v>
      </c>
    </row>
    <row r="110" spans="1:12" x14ac:dyDescent="0.25">
      <c r="A110" s="7">
        <v>5</v>
      </c>
      <c r="B110" s="36" t="s">
        <v>107</v>
      </c>
      <c r="C110" s="58" t="s">
        <v>71</v>
      </c>
      <c r="D110" s="59">
        <v>1</v>
      </c>
      <c r="E110" s="59" t="s">
        <v>2</v>
      </c>
      <c r="F110" s="62">
        <v>4760</v>
      </c>
      <c r="G110" s="60">
        <v>0.55000000000000004</v>
      </c>
      <c r="H110" s="61">
        <f t="shared" si="2"/>
        <v>2142</v>
      </c>
      <c r="I110" s="61">
        <f t="shared" si="3"/>
        <v>2142</v>
      </c>
    </row>
    <row r="111" spans="1:12" x14ac:dyDescent="0.25">
      <c r="A111" s="7">
        <v>6</v>
      </c>
      <c r="B111" s="36" t="s">
        <v>108</v>
      </c>
      <c r="C111" s="58" t="s">
        <v>71</v>
      </c>
      <c r="D111" s="59">
        <v>1</v>
      </c>
      <c r="E111" s="59" t="s">
        <v>2</v>
      </c>
      <c r="F111" s="62">
        <v>6410</v>
      </c>
      <c r="G111" s="60">
        <v>0.55000000000000004</v>
      </c>
      <c r="H111" s="61">
        <f t="shared" si="2"/>
        <v>2884.4999999999995</v>
      </c>
      <c r="I111" s="61">
        <f t="shared" si="3"/>
        <v>2884.4999999999995</v>
      </c>
    </row>
    <row r="112" spans="1:12" x14ac:dyDescent="0.25">
      <c r="A112" s="7">
        <v>7</v>
      </c>
      <c r="B112" s="4" t="s">
        <v>6</v>
      </c>
      <c r="C112" s="58" t="s">
        <v>71</v>
      </c>
      <c r="D112" s="59">
        <v>1</v>
      </c>
      <c r="E112" s="59" t="s">
        <v>2</v>
      </c>
      <c r="F112" s="62">
        <v>1200</v>
      </c>
      <c r="G112" s="60">
        <v>0.4</v>
      </c>
      <c r="H112" s="61">
        <f t="shared" si="2"/>
        <v>720</v>
      </c>
      <c r="I112" s="61">
        <f t="shared" si="3"/>
        <v>720</v>
      </c>
    </row>
    <row r="113" spans="1:12" x14ac:dyDescent="0.25">
      <c r="A113" s="7">
        <v>8</v>
      </c>
      <c r="B113" s="4" t="s">
        <v>74</v>
      </c>
      <c r="C113" s="58" t="s">
        <v>71</v>
      </c>
      <c r="D113" s="59">
        <v>1</v>
      </c>
      <c r="E113" s="59" t="s">
        <v>2</v>
      </c>
      <c r="F113" s="59">
        <v>6790</v>
      </c>
      <c r="G113" s="60">
        <v>0.35</v>
      </c>
      <c r="H113" s="61">
        <f t="shared" si="2"/>
        <v>4413.5</v>
      </c>
      <c r="I113" s="61">
        <f t="shared" si="3"/>
        <v>4413.5</v>
      </c>
    </row>
    <row r="114" spans="1:12" x14ac:dyDescent="0.25">
      <c r="A114" s="7"/>
      <c r="B114" s="4"/>
      <c r="C114" s="58"/>
      <c r="D114" s="59"/>
      <c r="E114" s="59"/>
      <c r="F114" s="59"/>
      <c r="G114" s="60"/>
      <c r="H114" s="61"/>
      <c r="I114" s="61"/>
    </row>
    <row r="115" spans="1:12" x14ac:dyDescent="0.25">
      <c r="A115" s="7">
        <v>1</v>
      </c>
      <c r="B115" s="35" t="s">
        <v>43</v>
      </c>
      <c r="C115" s="39" t="s">
        <v>71</v>
      </c>
      <c r="D115" s="63">
        <v>1</v>
      </c>
      <c r="E115" s="59" t="s">
        <v>2</v>
      </c>
      <c r="F115" s="62">
        <v>70500</v>
      </c>
      <c r="G115" s="60">
        <v>0.55000000000000004</v>
      </c>
      <c r="H115" s="61">
        <f t="shared" si="2"/>
        <v>31724.999999999996</v>
      </c>
      <c r="I115" s="61">
        <f t="shared" si="3"/>
        <v>31724.999999999996</v>
      </c>
    </row>
    <row r="116" spans="1:12" x14ac:dyDescent="0.25">
      <c r="A116" s="7">
        <v>2</v>
      </c>
      <c r="B116" s="4" t="s">
        <v>83</v>
      </c>
      <c r="C116" s="58" t="s">
        <v>64</v>
      </c>
      <c r="D116" s="59">
        <v>3</v>
      </c>
      <c r="E116" s="59" t="s">
        <v>2</v>
      </c>
      <c r="F116" s="59">
        <v>600</v>
      </c>
      <c r="G116" s="60">
        <v>0</v>
      </c>
      <c r="H116" s="61">
        <f t="shared" si="2"/>
        <v>600</v>
      </c>
      <c r="I116" s="61">
        <f t="shared" si="3"/>
        <v>1800</v>
      </c>
      <c r="L116">
        <v>1800</v>
      </c>
    </row>
    <row r="117" spans="1:12" x14ac:dyDescent="0.25">
      <c r="A117" s="7">
        <v>3</v>
      </c>
      <c r="B117" s="4" t="s">
        <v>27</v>
      </c>
      <c r="C117" s="58" t="s">
        <v>71</v>
      </c>
      <c r="D117" s="59">
        <v>4</v>
      </c>
      <c r="E117" s="59" t="s">
        <v>2</v>
      </c>
      <c r="F117" s="59">
        <v>318</v>
      </c>
      <c r="G117" s="60">
        <v>0.55000000000000004</v>
      </c>
      <c r="H117" s="61">
        <f t="shared" si="2"/>
        <v>143.1</v>
      </c>
      <c r="I117" s="61">
        <f t="shared" si="3"/>
        <v>572.4</v>
      </c>
    </row>
    <row r="118" spans="1:12" x14ac:dyDescent="0.25">
      <c r="A118" s="7">
        <v>4</v>
      </c>
      <c r="B118" s="4" t="s">
        <v>11</v>
      </c>
      <c r="C118" s="58" t="s">
        <v>86</v>
      </c>
      <c r="D118" s="59">
        <v>1</v>
      </c>
      <c r="E118" s="59" t="s">
        <v>4</v>
      </c>
      <c r="F118" s="59">
        <v>210</v>
      </c>
      <c r="G118" s="60">
        <v>0</v>
      </c>
      <c r="H118" s="61">
        <f t="shared" si="2"/>
        <v>210</v>
      </c>
      <c r="I118" s="61">
        <f t="shared" si="3"/>
        <v>210</v>
      </c>
    </row>
    <row r="119" spans="1:12" x14ac:dyDescent="0.25">
      <c r="A119" s="7">
        <v>5</v>
      </c>
      <c r="B119" s="36" t="s">
        <v>111</v>
      </c>
      <c r="C119" s="58" t="s">
        <v>71</v>
      </c>
      <c r="D119" s="59">
        <v>1</v>
      </c>
      <c r="E119" s="59" t="s">
        <v>2</v>
      </c>
      <c r="F119" s="62">
        <v>4760</v>
      </c>
      <c r="G119" s="60">
        <v>0.55000000000000004</v>
      </c>
      <c r="H119" s="61">
        <f t="shared" si="2"/>
        <v>2142</v>
      </c>
      <c r="I119" s="61">
        <f t="shared" si="3"/>
        <v>2142</v>
      </c>
    </row>
    <row r="120" spans="1:12" x14ac:dyDescent="0.25">
      <c r="A120" s="7">
        <v>6</v>
      </c>
      <c r="B120" s="36" t="s">
        <v>112</v>
      </c>
      <c r="C120" s="58" t="s">
        <v>71</v>
      </c>
      <c r="D120" s="59">
        <v>1</v>
      </c>
      <c r="E120" s="59" t="s">
        <v>2</v>
      </c>
      <c r="F120" s="62">
        <v>13300</v>
      </c>
      <c r="G120" s="60">
        <v>0.55000000000000004</v>
      </c>
      <c r="H120" s="61">
        <f t="shared" si="2"/>
        <v>5984.9999999999991</v>
      </c>
      <c r="I120" s="61">
        <f t="shared" si="3"/>
        <v>5984.9999999999991</v>
      </c>
    </row>
    <row r="121" spans="1:12" x14ac:dyDescent="0.25">
      <c r="A121" s="7">
        <v>7</v>
      </c>
      <c r="B121" s="4" t="s">
        <v>6</v>
      </c>
      <c r="C121" s="58" t="s">
        <v>71</v>
      </c>
      <c r="D121" s="59">
        <v>1</v>
      </c>
      <c r="E121" s="59" t="s">
        <v>2</v>
      </c>
      <c r="F121" s="62">
        <v>1200</v>
      </c>
      <c r="G121" s="60">
        <v>0.4</v>
      </c>
      <c r="H121" s="61">
        <f t="shared" si="2"/>
        <v>720</v>
      </c>
      <c r="I121" s="61">
        <f t="shared" si="3"/>
        <v>720</v>
      </c>
    </row>
    <row r="122" spans="1:12" x14ac:dyDescent="0.25">
      <c r="A122" s="7">
        <v>8</v>
      </c>
      <c r="B122" s="4" t="s">
        <v>74</v>
      </c>
      <c r="C122" s="58" t="s">
        <v>71</v>
      </c>
      <c r="D122" s="59">
        <v>1</v>
      </c>
      <c r="E122" s="59" t="s">
        <v>2</v>
      </c>
      <c r="F122" s="59">
        <v>6790</v>
      </c>
      <c r="G122" s="60">
        <v>0.35</v>
      </c>
      <c r="H122" s="61">
        <f t="shared" si="2"/>
        <v>4413.5</v>
      </c>
      <c r="I122" s="61">
        <f t="shared" si="3"/>
        <v>4413.5</v>
      </c>
    </row>
    <row r="123" spans="1:12" x14ac:dyDescent="0.25">
      <c r="A123" s="7"/>
      <c r="B123" s="4"/>
      <c r="C123" s="58"/>
      <c r="D123" s="59"/>
      <c r="E123" s="59"/>
      <c r="F123" s="59"/>
      <c r="G123" s="60"/>
      <c r="H123" s="61"/>
      <c r="I123" s="61"/>
    </row>
    <row r="124" spans="1:12" x14ac:dyDescent="0.25">
      <c r="A124" s="7">
        <v>1</v>
      </c>
      <c r="B124" s="35" t="s">
        <v>44</v>
      </c>
      <c r="C124" s="39" t="s">
        <v>71</v>
      </c>
      <c r="D124" s="63">
        <v>1</v>
      </c>
      <c r="E124" s="59" t="s">
        <v>2</v>
      </c>
      <c r="F124" s="62">
        <v>73300</v>
      </c>
      <c r="G124" s="60">
        <v>0.55000000000000004</v>
      </c>
      <c r="H124" s="61">
        <f t="shared" si="2"/>
        <v>32985</v>
      </c>
      <c r="I124" s="61">
        <f t="shared" si="3"/>
        <v>32985</v>
      </c>
    </row>
    <row r="125" spans="1:12" x14ac:dyDescent="0.25">
      <c r="A125" s="7">
        <v>2</v>
      </c>
      <c r="B125" s="4" t="s">
        <v>84</v>
      </c>
      <c r="C125" s="58" t="s">
        <v>64</v>
      </c>
      <c r="D125" s="59">
        <v>3</v>
      </c>
      <c r="E125" s="59" t="s">
        <v>2</v>
      </c>
      <c r="F125" s="59">
        <v>600</v>
      </c>
      <c r="G125" s="60">
        <v>0</v>
      </c>
      <c r="H125" s="61">
        <f t="shared" si="2"/>
        <v>600</v>
      </c>
      <c r="I125" s="61">
        <f t="shared" si="3"/>
        <v>1800</v>
      </c>
      <c r="L125">
        <v>1800</v>
      </c>
    </row>
    <row r="126" spans="1:12" x14ac:dyDescent="0.25">
      <c r="A126" s="7">
        <v>3</v>
      </c>
      <c r="B126" s="4" t="s">
        <v>27</v>
      </c>
      <c r="C126" s="58" t="s">
        <v>71</v>
      </c>
      <c r="D126" s="59">
        <v>4</v>
      </c>
      <c r="E126" s="59" t="s">
        <v>2</v>
      </c>
      <c r="F126" s="59">
        <v>318</v>
      </c>
      <c r="G126" s="60">
        <v>0.55000000000000004</v>
      </c>
      <c r="H126" s="61">
        <f t="shared" si="2"/>
        <v>143.1</v>
      </c>
      <c r="I126" s="61">
        <f t="shared" si="3"/>
        <v>572.4</v>
      </c>
    </row>
    <row r="127" spans="1:12" x14ac:dyDescent="0.25">
      <c r="A127" s="7">
        <v>4</v>
      </c>
      <c r="B127" s="4" t="s">
        <v>11</v>
      </c>
      <c r="C127" s="58" t="s">
        <v>86</v>
      </c>
      <c r="D127" s="59">
        <v>1</v>
      </c>
      <c r="E127" s="59" t="s">
        <v>4</v>
      </c>
      <c r="F127" s="59">
        <v>210</v>
      </c>
      <c r="G127" s="60">
        <v>0</v>
      </c>
      <c r="H127" s="61">
        <f t="shared" si="2"/>
        <v>210</v>
      </c>
      <c r="I127" s="61">
        <f t="shared" si="3"/>
        <v>210</v>
      </c>
    </row>
    <row r="128" spans="1:12" x14ac:dyDescent="0.25">
      <c r="A128" s="7">
        <v>5</v>
      </c>
      <c r="B128" s="36" t="s">
        <v>100</v>
      </c>
      <c r="C128" s="58" t="s">
        <v>71</v>
      </c>
      <c r="D128" s="59">
        <v>1</v>
      </c>
      <c r="E128" s="59" t="s">
        <v>2</v>
      </c>
      <c r="F128" s="62">
        <v>4760</v>
      </c>
      <c r="G128" s="60">
        <v>0.55000000000000004</v>
      </c>
      <c r="H128" s="61">
        <f t="shared" si="2"/>
        <v>2142</v>
      </c>
      <c r="I128" s="61">
        <f t="shared" si="3"/>
        <v>2142</v>
      </c>
    </row>
    <row r="129" spans="1:12" x14ac:dyDescent="0.25">
      <c r="A129" s="7">
        <v>6</v>
      </c>
      <c r="B129" s="36" t="s">
        <v>101</v>
      </c>
      <c r="C129" s="58" t="s">
        <v>71</v>
      </c>
      <c r="D129" s="59">
        <v>1</v>
      </c>
      <c r="E129" s="59" t="s">
        <v>2</v>
      </c>
      <c r="F129" s="62">
        <v>13300</v>
      </c>
      <c r="G129" s="60">
        <v>0.55000000000000004</v>
      </c>
      <c r="H129" s="61">
        <f t="shared" si="2"/>
        <v>5984.9999999999991</v>
      </c>
      <c r="I129" s="61">
        <f t="shared" si="3"/>
        <v>5984.9999999999991</v>
      </c>
    </row>
    <row r="130" spans="1:12" x14ac:dyDescent="0.25">
      <c r="A130" s="7">
        <v>7</v>
      </c>
      <c r="B130" s="4" t="s">
        <v>6</v>
      </c>
      <c r="C130" s="58" t="s">
        <v>71</v>
      </c>
      <c r="D130" s="59">
        <v>1</v>
      </c>
      <c r="E130" s="59" t="s">
        <v>2</v>
      </c>
      <c r="F130" s="62">
        <v>1200</v>
      </c>
      <c r="G130" s="60">
        <v>0.4</v>
      </c>
      <c r="H130" s="61">
        <f t="shared" si="2"/>
        <v>720</v>
      </c>
      <c r="I130" s="61">
        <f t="shared" si="3"/>
        <v>720</v>
      </c>
    </row>
    <row r="131" spans="1:12" x14ac:dyDescent="0.25">
      <c r="A131" s="7">
        <v>8</v>
      </c>
      <c r="B131" s="4" t="s">
        <v>74</v>
      </c>
      <c r="C131" s="58" t="s">
        <v>71</v>
      </c>
      <c r="D131" s="59">
        <v>1</v>
      </c>
      <c r="E131" s="59" t="s">
        <v>2</v>
      </c>
      <c r="F131" s="59">
        <v>6790</v>
      </c>
      <c r="G131" s="60">
        <v>0.35</v>
      </c>
      <c r="H131" s="61">
        <f t="shared" si="2"/>
        <v>4413.5</v>
      </c>
      <c r="I131" s="61">
        <f t="shared" si="3"/>
        <v>4413.5</v>
      </c>
    </row>
    <row r="132" spans="1:12" x14ac:dyDescent="0.25">
      <c r="A132" s="7"/>
      <c r="B132" s="4"/>
      <c r="C132" s="58"/>
      <c r="D132" s="59"/>
      <c r="E132" s="59"/>
      <c r="F132" s="59"/>
      <c r="G132" s="60"/>
      <c r="H132" s="61"/>
      <c r="I132" s="61"/>
    </row>
    <row r="133" spans="1:12" x14ac:dyDescent="0.25">
      <c r="A133" s="7">
        <v>1</v>
      </c>
      <c r="B133" s="35" t="s">
        <v>40</v>
      </c>
      <c r="C133" s="39" t="s">
        <v>71</v>
      </c>
      <c r="D133" s="63">
        <v>1</v>
      </c>
      <c r="E133" s="59" t="s">
        <v>2</v>
      </c>
      <c r="F133" s="62">
        <v>51700</v>
      </c>
      <c r="G133" s="60">
        <v>0.55000000000000004</v>
      </c>
      <c r="H133" s="61">
        <f t="shared" ref="H133:H157" si="4">F133*(1-G133)</f>
        <v>23264.999999999996</v>
      </c>
      <c r="I133" s="61">
        <f t="shared" ref="I133:I149" si="5">D133*H133</f>
        <v>23264.999999999996</v>
      </c>
    </row>
    <row r="134" spans="1:12" x14ac:dyDescent="0.25">
      <c r="A134" s="7">
        <v>2</v>
      </c>
      <c r="B134" s="4" t="s">
        <v>79</v>
      </c>
      <c r="C134" s="58" t="s">
        <v>64</v>
      </c>
      <c r="D134" s="59">
        <v>3</v>
      </c>
      <c r="E134" s="59" t="s">
        <v>2</v>
      </c>
      <c r="F134" s="59">
        <v>600</v>
      </c>
      <c r="G134" s="60">
        <v>0</v>
      </c>
      <c r="H134" s="61">
        <f t="shared" si="4"/>
        <v>600</v>
      </c>
      <c r="I134" s="61">
        <f t="shared" si="5"/>
        <v>1800</v>
      </c>
      <c r="L134">
        <v>1800</v>
      </c>
    </row>
    <row r="135" spans="1:12" x14ac:dyDescent="0.25">
      <c r="A135" s="7">
        <v>3</v>
      </c>
      <c r="B135" s="4" t="s">
        <v>27</v>
      </c>
      <c r="C135" s="58" t="s">
        <v>71</v>
      </c>
      <c r="D135" s="59">
        <v>4</v>
      </c>
      <c r="E135" s="59" t="s">
        <v>2</v>
      </c>
      <c r="F135" s="59">
        <v>318</v>
      </c>
      <c r="G135" s="60">
        <v>0.55000000000000004</v>
      </c>
      <c r="H135" s="61">
        <f t="shared" si="4"/>
        <v>143.1</v>
      </c>
      <c r="I135" s="61">
        <f t="shared" si="5"/>
        <v>572.4</v>
      </c>
    </row>
    <row r="136" spans="1:12" x14ac:dyDescent="0.25">
      <c r="A136" s="7">
        <v>4</v>
      </c>
      <c r="B136" s="4" t="s">
        <v>11</v>
      </c>
      <c r="C136" s="58" t="s">
        <v>86</v>
      </c>
      <c r="D136" s="59">
        <v>1</v>
      </c>
      <c r="E136" s="59" t="s">
        <v>4</v>
      </c>
      <c r="F136" s="59">
        <v>210</v>
      </c>
      <c r="G136" s="60">
        <v>0</v>
      </c>
      <c r="H136" s="61">
        <f t="shared" si="4"/>
        <v>210</v>
      </c>
      <c r="I136" s="61">
        <f t="shared" si="5"/>
        <v>210</v>
      </c>
    </row>
    <row r="137" spans="1:12" x14ac:dyDescent="0.25">
      <c r="A137" s="7">
        <v>5</v>
      </c>
      <c r="B137" s="36" t="s">
        <v>98</v>
      </c>
      <c r="C137" s="58" t="s">
        <v>71</v>
      </c>
      <c r="D137" s="59">
        <v>1</v>
      </c>
      <c r="E137" s="59" t="s">
        <v>2</v>
      </c>
      <c r="F137" s="62">
        <v>4760</v>
      </c>
      <c r="G137" s="60">
        <v>0.55000000000000004</v>
      </c>
      <c r="H137" s="61">
        <f t="shared" si="4"/>
        <v>2142</v>
      </c>
      <c r="I137" s="61">
        <f t="shared" si="5"/>
        <v>2142</v>
      </c>
    </row>
    <row r="138" spans="1:12" x14ac:dyDescent="0.25">
      <c r="A138" s="7">
        <v>6</v>
      </c>
      <c r="B138" s="36" t="s">
        <v>99</v>
      </c>
      <c r="C138" s="58" t="s">
        <v>71</v>
      </c>
      <c r="D138" s="59">
        <v>1</v>
      </c>
      <c r="E138" s="59" t="s">
        <v>2</v>
      </c>
      <c r="F138" s="62">
        <v>6410</v>
      </c>
      <c r="G138" s="60">
        <v>0.55000000000000004</v>
      </c>
      <c r="H138" s="61">
        <f t="shared" si="4"/>
        <v>2884.4999999999995</v>
      </c>
      <c r="I138" s="61">
        <f t="shared" si="5"/>
        <v>2884.4999999999995</v>
      </c>
    </row>
    <row r="139" spans="1:12" x14ac:dyDescent="0.25">
      <c r="A139" s="7">
        <v>7</v>
      </c>
      <c r="B139" s="4" t="s">
        <v>6</v>
      </c>
      <c r="C139" s="58" t="s">
        <v>71</v>
      </c>
      <c r="D139" s="59">
        <v>1</v>
      </c>
      <c r="E139" s="59" t="s">
        <v>2</v>
      </c>
      <c r="F139" s="62">
        <v>1200</v>
      </c>
      <c r="G139" s="60">
        <v>0.4</v>
      </c>
      <c r="H139" s="61">
        <f t="shared" si="4"/>
        <v>720</v>
      </c>
      <c r="I139" s="61">
        <f t="shared" si="5"/>
        <v>720</v>
      </c>
    </row>
    <row r="140" spans="1:12" x14ac:dyDescent="0.25">
      <c r="A140" s="7">
        <v>8</v>
      </c>
      <c r="B140" s="4" t="s">
        <v>74</v>
      </c>
      <c r="C140" s="58" t="s">
        <v>71</v>
      </c>
      <c r="D140" s="59">
        <v>1</v>
      </c>
      <c r="E140" s="59" t="s">
        <v>2</v>
      </c>
      <c r="F140" s="59">
        <v>6790</v>
      </c>
      <c r="G140" s="60">
        <v>0.35</v>
      </c>
      <c r="H140" s="61">
        <f t="shared" si="4"/>
        <v>4413.5</v>
      </c>
      <c r="I140" s="61">
        <f t="shared" si="5"/>
        <v>4413.5</v>
      </c>
    </row>
    <row r="141" spans="1:12" x14ac:dyDescent="0.25">
      <c r="A141" s="7"/>
      <c r="B141" s="4"/>
      <c r="C141" s="58"/>
      <c r="D141" s="59"/>
      <c r="E141" s="59"/>
      <c r="F141" s="59"/>
      <c r="G141" s="60"/>
      <c r="H141" s="61"/>
      <c r="I141" s="61"/>
    </row>
    <row r="142" spans="1:12" x14ac:dyDescent="0.25">
      <c r="A142" s="7">
        <v>1</v>
      </c>
      <c r="B142" s="35" t="s">
        <v>45</v>
      </c>
      <c r="C142" s="39" t="s">
        <v>71</v>
      </c>
      <c r="D142" s="63">
        <v>1</v>
      </c>
      <c r="E142" s="59" t="s">
        <v>2</v>
      </c>
      <c r="F142" s="62">
        <v>37600</v>
      </c>
      <c r="G142" s="60">
        <v>0.55000000000000004</v>
      </c>
      <c r="H142" s="61">
        <f>F142*(1-G142)</f>
        <v>16920</v>
      </c>
      <c r="I142" s="61">
        <f>D142*H142</f>
        <v>16920</v>
      </c>
    </row>
    <row r="143" spans="1:12" x14ac:dyDescent="0.25">
      <c r="A143" s="7">
        <v>2</v>
      </c>
      <c r="B143" s="4" t="s">
        <v>85</v>
      </c>
      <c r="C143" s="58" t="s">
        <v>64</v>
      </c>
      <c r="D143" s="59">
        <v>3</v>
      </c>
      <c r="E143" s="59" t="s">
        <v>2</v>
      </c>
      <c r="F143" s="59">
        <v>300</v>
      </c>
      <c r="G143" s="60">
        <v>0</v>
      </c>
      <c r="H143" s="61">
        <f t="shared" si="4"/>
        <v>300</v>
      </c>
      <c r="I143" s="61">
        <f t="shared" si="5"/>
        <v>900</v>
      </c>
      <c r="L143">
        <v>900</v>
      </c>
    </row>
    <row r="144" spans="1:12" x14ac:dyDescent="0.25">
      <c r="A144" s="7">
        <v>3</v>
      </c>
      <c r="B144" s="4" t="s">
        <v>27</v>
      </c>
      <c r="C144" s="58" t="s">
        <v>71</v>
      </c>
      <c r="D144" s="59">
        <v>4</v>
      </c>
      <c r="E144" s="59" t="s">
        <v>2</v>
      </c>
      <c r="F144" s="59">
        <v>318</v>
      </c>
      <c r="G144" s="60">
        <v>0.55000000000000004</v>
      </c>
      <c r="H144" s="61">
        <f t="shared" si="4"/>
        <v>143.1</v>
      </c>
      <c r="I144" s="61">
        <f t="shared" si="5"/>
        <v>572.4</v>
      </c>
      <c r="L144">
        <f>SUM(L44:L143)</f>
        <v>18900</v>
      </c>
    </row>
    <row r="145" spans="1:12" x14ac:dyDescent="0.25">
      <c r="A145" s="7">
        <v>4</v>
      </c>
      <c r="B145" s="4" t="s">
        <v>11</v>
      </c>
      <c r="C145" s="58" t="s">
        <v>86</v>
      </c>
      <c r="D145" s="59">
        <v>1</v>
      </c>
      <c r="E145" s="59" t="s">
        <v>4</v>
      </c>
      <c r="F145" s="59">
        <v>210</v>
      </c>
      <c r="G145" s="60">
        <v>0</v>
      </c>
      <c r="H145" s="61">
        <f t="shared" si="4"/>
        <v>210</v>
      </c>
      <c r="I145" s="61">
        <f t="shared" si="5"/>
        <v>210</v>
      </c>
    </row>
    <row r="146" spans="1:12" x14ac:dyDescent="0.25">
      <c r="A146" s="7">
        <v>5</v>
      </c>
      <c r="B146" s="36" t="s">
        <v>96</v>
      </c>
      <c r="C146" s="58" t="s">
        <v>71</v>
      </c>
      <c r="D146" s="59">
        <v>1</v>
      </c>
      <c r="E146" s="59" t="s">
        <v>2</v>
      </c>
      <c r="F146" s="62">
        <v>2790</v>
      </c>
      <c r="G146" s="60">
        <v>0.55000000000000004</v>
      </c>
      <c r="H146" s="61">
        <f t="shared" si="4"/>
        <v>1255.4999999999998</v>
      </c>
      <c r="I146" s="61">
        <f t="shared" si="5"/>
        <v>1255.4999999999998</v>
      </c>
    </row>
    <row r="147" spans="1:12" x14ac:dyDescent="0.25">
      <c r="A147" s="7">
        <v>6</v>
      </c>
      <c r="B147" s="36" t="s">
        <v>97</v>
      </c>
      <c r="C147" s="58" t="s">
        <v>71</v>
      </c>
      <c r="D147" s="59">
        <v>1</v>
      </c>
      <c r="E147" s="59" t="s">
        <v>2</v>
      </c>
      <c r="F147" s="62">
        <v>6310</v>
      </c>
      <c r="G147" s="60">
        <v>0.55000000000000004</v>
      </c>
      <c r="H147" s="61">
        <f t="shared" si="4"/>
        <v>2839.4999999999995</v>
      </c>
      <c r="I147" s="61">
        <f t="shared" si="5"/>
        <v>2839.4999999999995</v>
      </c>
    </row>
    <row r="148" spans="1:12" x14ac:dyDescent="0.25">
      <c r="A148" s="7">
        <v>7</v>
      </c>
      <c r="B148" s="4" t="s">
        <v>6</v>
      </c>
      <c r="C148" s="58" t="s">
        <v>71</v>
      </c>
      <c r="D148" s="59">
        <v>1</v>
      </c>
      <c r="E148" s="59" t="s">
        <v>2</v>
      </c>
      <c r="F148" s="62">
        <v>1200</v>
      </c>
      <c r="G148" s="60">
        <v>0.4</v>
      </c>
      <c r="H148" s="61">
        <f t="shared" si="4"/>
        <v>720</v>
      </c>
      <c r="I148" s="61">
        <f t="shared" si="5"/>
        <v>720</v>
      </c>
    </row>
    <row r="149" spans="1:12" x14ac:dyDescent="0.25">
      <c r="A149" s="7">
        <v>8</v>
      </c>
      <c r="B149" s="4" t="s">
        <v>74</v>
      </c>
      <c r="C149" s="58" t="s">
        <v>71</v>
      </c>
      <c r="D149" s="59">
        <v>1</v>
      </c>
      <c r="E149" s="59" t="s">
        <v>2</v>
      </c>
      <c r="F149" s="59">
        <v>6790</v>
      </c>
      <c r="G149" s="60">
        <v>0.35</v>
      </c>
      <c r="H149" s="61">
        <f t="shared" si="4"/>
        <v>4413.5</v>
      </c>
      <c r="I149" s="61">
        <f t="shared" si="5"/>
        <v>4413.5</v>
      </c>
    </row>
    <row r="150" spans="1:12" x14ac:dyDescent="0.25">
      <c r="A150" s="7"/>
      <c r="B150" s="4"/>
      <c r="C150" s="58"/>
      <c r="D150" s="59"/>
      <c r="E150" s="59"/>
      <c r="F150" s="59"/>
      <c r="G150" s="60"/>
      <c r="H150" s="61"/>
      <c r="I150" s="61"/>
    </row>
    <row r="151" spans="1:12" x14ac:dyDescent="0.25">
      <c r="A151" s="7">
        <v>1</v>
      </c>
      <c r="B151" s="4" t="s">
        <v>95</v>
      </c>
      <c r="C151" s="58" t="s">
        <v>71</v>
      </c>
      <c r="D151" s="59">
        <v>4</v>
      </c>
      <c r="E151" s="59" t="s">
        <v>2</v>
      </c>
      <c r="F151" s="62">
        <v>0</v>
      </c>
      <c r="G151" s="60">
        <v>0.6</v>
      </c>
      <c r="H151" s="61">
        <f t="shared" ref="H151" si="6">F151*(1-G151)</f>
        <v>0</v>
      </c>
      <c r="I151" s="61">
        <f t="shared" ref="I151" si="7">D151*H151</f>
        <v>0</v>
      </c>
    </row>
    <row r="152" spans="1:12" x14ac:dyDescent="0.25">
      <c r="A152" s="7"/>
      <c r="B152" s="50"/>
      <c r="C152" s="64"/>
      <c r="D152" s="65"/>
      <c r="E152" s="65"/>
      <c r="F152" s="75"/>
      <c r="G152" s="66"/>
      <c r="H152" s="67"/>
      <c r="I152" s="67"/>
    </row>
    <row r="153" spans="1:12" x14ac:dyDescent="0.25">
      <c r="A153" s="7">
        <v>1</v>
      </c>
      <c r="B153" s="4" t="s">
        <v>62</v>
      </c>
      <c r="C153" s="58" t="s">
        <v>70</v>
      </c>
      <c r="D153" s="59"/>
      <c r="E153" s="59"/>
      <c r="F153" s="59">
        <v>0</v>
      </c>
      <c r="G153" s="60">
        <v>0</v>
      </c>
      <c r="H153" s="61">
        <f t="shared" si="4"/>
        <v>0</v>
      </c>
      <c r="I153" s="61">
        <v>150000</v>
      </c>
      <c r="L153">
        <v>150000</v>
      </c>
    </row>
    <row r="154" spans="1:12" x14ac:dyDescent="0.25">
      <c r="A154" s="7">
        <v>2</v>
      </c>
      <c r="B154" s="3" t="s">
        <v>57</v>
      </c>
      <c r="C154" s="11"/>
      <c r="D154" s="7">
        <v>1</v>
      </c>
      <c r="E154" s="7"/>
      <c r="F154" s="7">
        <v>0</v>
      </c>
      <c r="G154" s="24">
        <v>0</v>
      </c>
      <c r="H154" s="25">
        <f t="shared" si="4"/>
        <v>0</v>
      </c>
      <c r="I154" s="25">
        <v>4000</v>
      </c>
    </row>
    <row r="155" spans="1:12" x14ac:dyDescent="0.25">
      <c r="A155" s="7">
        <v>3</v>
      </c>
      <c r="B155" s="3" t="s">
        <v>28</v>
      </c>
      <c r="C155" s="8" t="s">
        <v>69</v>
      </c>
      <c r="D155" s="7">
        <v>1</v>
      </c>
      <c r="E155" s="7"/>
      <c r="F155" s="7">
        <v>0</v>
      </c>
      <c r="G155" s="24">
        <v>0</v>
      </c>
      <c r="H155" s="25">
        <f t="shared" si="4"/>
        <v>0</v>
      </c>
      <c r="I155" s="25">
        <v>25000</v>
      </c>
    </row>
    <row r="156" spans="1:12" x14ac:dyDescent="0.25">
      <c r="A156" s="7">
        <v>4</v>
      </c>
      <c r="B156" s="3" t="s">
        <v>3</v>
      </c>
      <c r="C156" s="8" t="s">
        <v>68</v>
      </c>
      <c r="D156" s="7">
        <v>1</v>
      </c>
      <c r="E156" s="7"/>
      <c r="F156" s="7">
        <v>0</v>
      </c>
      <c r="G156" s="24">
        <v>0</v>
      </c>
      <c r="H156" s="25">
        <f t="shared" si="4"/>
        <v>0</v>
      </c>
      <c r="I156" s="25">
        <v>250000</v>
      </c>
    </row>
    <row r="157" spans="1:12" x14ac:dyDescent="0.25">
      <c r="A157" s="7">
        <v>5</v>
      </c>
      <c r="B157" s="3" t="s">
        <v>18</v>
      </c>
      <c r="C157" s="8"/>
      <c r="D157" s="7">
        <v>1</v>
      </c>
      <c r="E157" s="7"/>
      <c r="F157" s="7">
        <v>0</v>
      </c>
      <c r="G157" s="24">
        <v>0</v>
      </c>
      <c r="H157" s="25">
        <f t="shared" si="4"/>
        <v>0</v>
      </c>
      <c r="I157" s="25">
        <v>239050</v>
      </c>
    </row>
    <row r="158" spans="1:12" x14ac:dyDescent="0.25">
      <c r="A158" s="7"/>
      <c r="B158" s="3"/>
      <c r="C158" s="8"/>
      <c r="D158" s="7"/>
      <c r="E158" s="7"/>
      <c r="F158" s="7"/>
      <c r="G158" s="24"/>
      <c r="H158" s="25"/>
      <c r="I158" s="25">
        <v>0</v>
      </c>
    </row>
    <row r="159" spans="1:12" x14ac:dyDescent="0.25">
      <c r="A159" s="7"/>
      <c r="B159" s="9"/>
      <c r="C159" s="8"/>
      <c r="D159" s="7"/>
      <c r="E159" s="7"/>
      <c r="F159" s="7"/>
      <c r="G159" s="24"/>
      <c r="H159" s="7" t="s">
        <v>48</v>
      </c>
      <c r="I159" s="26">
        <f>SUM(I4:I158)</f>
        <v>1448829.9000000004</v>
      </c>
    </row>
    <row r="160" spans="1:12" x14ac:dyDescent="0.25">
      <c r="H160" s="10" t="s">
        <v>113</v>
      </c>
      <c r="I160" s="10">
        <f>I159*5%</f>
        <v>72441.495000000024</v>
      </c>
    </row>
    <row r="161" spans="6:9" customFormat="1" x14ac:dyDescent="0.25">
      <c r="F161" s="10"/>
      <c r="G161" s="10"/>
      <c r="H161" s="10"/>
      <c r="I161" s="37">
        <f>I159+I160</f>
        <v>1521271.3950000005</v>
      </c>
    </row>
    <row r="163" spans="6:9" customFormat="1" x14ac:dyDescent="0.25">
      <c r="F163" s="84"/>
      <c r="G163" s="84"/>
      <c r="H163" s="10"/>
      <c r="I163" s="10"/>
    </row>
    <row r="164" spans="6:9" customFormat="1" x14ac:dyDescent="0.25">
      <c r="F164" s="84"/>
      <c r="G164" s="84"/>
      <c r="H164" s="10"/>
      <c r="I164" s="10"/>
    </row>
    <row r="165" spans="6:9" customFormat="1" x14ac:dyDescent="0.25">
      <c r="F165" s="84"/>
      <c r="G165" s="84"/>
      <c r="H165" s="10"/>
      <c r="I165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68"/>
  <sheetViews>
    <sheetView tabSelected="1" topLeftCell="A136" workbookViewId="0">
      <selection activeCell="F146" sqref="F146"/>
    </sheetView>
  </sheetViews>
  <sheetFormatPr defaultRowHeight="15" x14ac:dyDescent="0.25"/>
  <cols>
    <col min="1" max="1" width="3.85546875" style="10" bestFit="1" customWidth="1"/>
    <col min="2" max="2" width="58" style="14" bestFit="1" customWidth="1"/>
    <col min="3" max="3" width="15.140625" style="21" bestFit="1" customWidth="1"/>
    <col min="4" max="4" width="6" style="10" bestFit="1" customWidth="1"/>
    <col min="5" max="5" width="5.42578125" style="10" bestFit="1" customWidth="1"/>
    <col min="6" max="6" width="11.5703125" style="10" customWidth="1"/>
    <col min="7" max="7" width="12.28515625" style="10" customWidth="1"/>
    <col min="8" max="8" width="11.5703125" style="10" customWidth="1"/>
    <col min="9" max="9" width="13.28515625" style="10" customWidth="1"/>
    <col min="10" max="10" width="5.42578125" customWidth="1"/>
    <col min="11" max="11" width="3.85546875" customWidth="1"/>
    <col min="12" max="12" width="18.7109375" customWidth="1"/>
    <col min="13" max="13" width="11.28515625" bestFit="1" customWidth="1"/>
    <col min="14" max="14" width="6" bestFit="1" customWidth="1"/>
    <col min="15" max="15" width="5.42578125" bestFit="1" customWidth="1"/>
    <col min="16" max="16" width="9.140625" bestFit="1" customWidth="1"/>
    <col min="17" max="17" width="7.7109375" bestFit="1" customWidth="1"/>
  </cols>
  <sheetData>
    <row r="1" spans="1:9" x14ac:dyDescent="0.25">
      <c r="A1" s="7"/>
      <c r="B1" s="28" t="s">
        <v>7</v>
      </c>
      <c r="C1" s="8"/>
      <c r="D1" s="7"/>
      <c r="E1" s="7"/>
      <c r="F1" s="7"/>
      <c r="G1" s="7"/>
      <c r="H1" s="7"/>
      <c r="I1" s="7"/>
    </row>
    <row r="2" spans="1:9" x14ac:dyDescent="0.25">
      <c r="A2" s="6" t="s">
        <v>8</v>
      </c>
      <c r="B2" s="13" t="s">
        <v>0</v>
      </c>
      <c r="C2" s="20" t="s">
        <v>9</v>
      </c>
      <c r="D2" s="1" t="s">
        <v>20</v>
      </c>
      <c r="E2" s="6" t="s">
        <v>1</v>
      </c>
      <c r="F2" s="6" t="s">
        <v>10</v>
      </c>
      <c r="G2" s="34" t="s">
        <v>46</v>
      </c>
      <c r="H2" s="34" t="s">
        <v>47</v>
      </c>
      <c r="I2" s="1" t="s">
        <v>30</v>
      </c>
    </row>
    <row r="3" spans="1:9" x14ac:dyDescent="0.25">
      <c r="A3" s="6" t="s">
        <v>21</v>
      </c>
      <c r="B3" s="13" t="s">
        <v>29</v>
      </c>
      <c r="C3" s="20"/>
      <c r="D3" s="1"/>
      <c r="E3" s="6"/>
      <c r="F3" s="6"/>
      <c r="G3" s="6"/>
      <c r="H3" s="6"/>
      <c r="I3" s="7"/>
    </row>
    <row r="4" spans="1:9" x14ac:dyDescent="0.25">
      <c r="A4" s="7">
        <v>1</v>
      </c>
      <c r="B4" s="3" t="s">
        <v>124</v>
      </c>
      <c r="C4" s="16" t="s">
        <v>71</v>
      </c>
      <c r="D4" s="2">
        <v>1</v>
      </c>
      <c r="E4" s="2" t="s">
        <v>2</v>
      </c>
      <c r="F4" s="17">
        <v>467400</v>
      </c>
      <c r="G4" s="22">
        <v>0.65</v>
      </c>
      <c r="H4" s="23">
        <f>F4*(1-G4)</f>
        <v>163590</v>
      </c>
      <c r="I4" s="23">
        <f>D4*H4</f>
        <v>163590</v>
      </c>
    </row>
    <row r="5" spans="1:9" x14ac:dyDescent="0.25">
      <c r="A5" s="7">
        <v>2</v>
      </c>
      <c r="B5" s="3" t="s">
        <v>66</v>
      </c>
      <c r="C5" s="16" t="s">
        <v>86</v>
      </c>
      <c r="D5" s="2">
        <v>1</v>
      </c>
      <c r="E5" s="2" t="s">
        <v>2</v>
      </c>
      <c r="F5" s="2">
        <v>210</v>
      </c>
      <c r="G5" s="22">
        <v>0</v>
      </c>
      <c r="H5" s="23">
        <f t="shared" ref="H5:H64" si="0">F5*(1-G5)</f>
        <v>210</v>
      </c>
      <c r="I5" s="23">
        <f>D5*H5</f>
        <v>210</v>
      </c>
    </row>
    <row r="6" spans="1:9" x14ac:dyDescent="0.25">
      <c r="A6" s="7">
        <v>3</v>
      </c>
      <c r="B6" s="3" t="s">
        <v>27</v>
      </c>
      <c r="C6" s="16" t="s">
        <v>71</v>
      </c>
      <c r="D6" s="2">
        <v>4</v>
      </c>
      <c r="E6" s="2" t="s">
        <v>2</v>
      </c>
      <c r="F6" s="2">
        <v>318</v>
      </c>
      <c r="G6" s="22">
        <v>0.6</v>
      </c>
      <c r="H6" s="23">
        <f t="shared" si="0"/>
        <v>127.2</v>
      </c>
      <c r="I6" s="23">
        <f t="shared" ref="I6:I64" si="1">D6*H6</f>
        <v>508.8</v>
      </c>
    </row>
    <row r="7" spans="1:9" x14ac:dyDescent="0.25">
      <c r="A7" s="7">
        <v>4</v>
      </c>
      <c r="B7" s="3" t="s">
        <v>12</v>
      </c>
      <c r="C7" s="16" t="s">
        <v>64</v>
      </c>
      <c r="D7" s="2">
        <v>3</v>
      </c>
      <c r="E7" s="2" t="s">
        <v>2</v>
      </c>
      <c r="F7" s="2">
        <v>1200</v>
      </c>
      <c r="G7" s="22">
        <v>0</v>
      </c>
      <c r="H7" s="23">
        <f t="shared" si="0"/>
        <v>1200</v>
      </c>
      <c r="I7" s="23">
        <f t="shared" si="1"/>
        <v>3600</v>
      </c>
    </row>
    <row r="8" spans="1:9" x14ac:dyDescent="0.25">
      <c r="A8" s="7">
        <v>5</v>
      </c>
      <c r="B8" s="4" t="s">
        <v>76</v>
      </c>
      <c r="C8" s="58" t="s">
        <v>71</v>
      </c>
      <c r="D8" s="59">
        <v>1</v>
      </c>
      <c r="E8" s="59" t="s">
        <v>2</v>
      </c>
      <c r="F8" s="59">
        <v>7665</v>
      </c>
      <c r="G8" s="60">
        <v>0.35</v>
      </c>
      <c r="H8" s="61">
        <f t="shared" si="0"/>
        <v>4982.25</v>
      </c>
      <c r="I8" s="61">
        <f t="shared" si="1"/>
        <v>4982.25</v>
      </c>
    </row>
    <row r="9" spans="1:9" x14ac:dyDescent="0.25">
      <c r="A9" s="7">
        <v>6</v>
      </c>
      <c r="B9" s="51" t="s">
        <v>55</v>
      </c>
      <c r="C9" s="16" t="s">
        <v>71</v>
      </c>
      <c r="D9" s="2">
        <v>1</v>
      </c>
      <c r="E9" s="2" t="s">
        <v>2</v>
      </c>
      <c r="F9" s="2">
        <v>1080</v>
      </c>
      <c r="G9" s="22">
        <v>0.6</v>
      </c>
      <c r="H9" s="23">
        <f t="shared" si="0"/>
        <v>432</v>
      </c>
      <c r="I9" s="23">
        <f t="shared" si="1"/>
        <v>432</v>
      </c>
    </row>
    <row r="10" spans="1:9" x14ac:dyDescent="0.25">
      <c r="A10" s="7">
        <v>7</v>
      </c>
      <c r="B10" s="3" t="s">
        <v>14</v>
      </c>
      <c r="C10" s="16" t="s">
        <v>5</v>
      </c>
      <c r="D10" s="2">
        <v>2</v>
      </c>
      <c r="E10" s="2" t="s">
        <v>2</v>
      </c>
      <c r="F10" s="2">
        <v>2400</v>
      </c>
      <c r="G10" s="22">
        <v>0</v>
      </c>
      <c r="H10" s="23">
        <f t="shared" si="0"/>
        <v>2400</v>
      </c>
      <c r="I10" s="23">
        <f t="shared" si="1"/>
        <v>4800</v>
      </c>
    </row>
    <row r="11" spans="1:9" x14ac:dyDescent="0.25">
      <c r="A11" s="7">
        <v>8</v>
      </c>
      <c r="B11" s="3" t="s">
        <v>15</v>
      </c>
      <c r="C11" s="16" t="s">
        <v>5</v>
      </c>
      <c r="D11" s="2">
        <v>2</v>
      </c>
      <c r="E11" s="2" t="s">
        <v>2</v>
      </c>
      <c r="F11" s="2">
        <v>100</v>
      </c>
      <c r="G11" s="22">
        <v>0</v>
      </c>
      <c r="H11" s="23">
        <f t="shared" si="0"/>
        <v>100</v>
      </c>
      <c r="I11" s="23">
        <f t="shared" si="1"/>
        <v>200</v>
      </c>
    </row>
    <row r="12" spans="1:9" x14ac:dyDescent="0.25">
      <c r="A12" s="7">
        <v>9</v>
      </c>
      <c r="B12" s="3" t="s">
        <v>16</v>
      </c>
      <c r="C12" s="16" t="s">
        <v>5</v>
      </c>
      <c r="D12" s="2">
        <v>2</v>
      </c>
      <c r="E12" s="2" t="s">
        <v>2</v>
      </c>
      <c r="F12" s="2">
        <v>750</v>
      </c>
      <c r="G12" s="22">
        <v>0</v>
      </c>
      <c r="H12" s="23">
        <f t="shared" si="0"/>
        <v>750</v>
      </c>
      <c r="I12" s="23">
        <f t="shared" si="1"/>
        <v>1500</v>
      </c>
    </row>
    <row r="13" spans="1:9" x14ac:dyDescent="0.25">
      <c r="A13" s="7">
        <v>10</v>
      </c>
      <c r="B13" s="31" t="s">
        <v>115</v>
      </c>
      <c r="C13" s="16" t="s">
        <v>63</v>
      </c>
      <c r="D13" s="2">
        <v>1</v>
      </c>
      <c r="E13" s="2" t="s">
        <v>2</v>
      </c>
      <c r="F13" s="2">
        <v>150</v>
      </c>
      <c r="G13" s="22">
        <v>0</v>
      </c>
      <c r="H13" s="23">
        <f t="shared" si="0"/>
        <v>150</v>
      </c>
      <c r="I13" s="23">
        <f t="shared" si="1"/>
        <v>150</v>
      </c>
    </row>
    <row r="14" spans="1:9" x14ac:dyDescent="0.25">
      <c r="A14" s="7">
        <v>11</v>
      </c>
      <c r="B14" s="35" t="s">
        <v>89</v>
      </c>
      <c r="C14" s="58" t="s">
        <v>91</v>
      </c>
      <c r="D14" s="59">
        <v>1</v>
      </c>
      <c r="E14" s="2" t="s">
        <v>2</v>
      </c>
      <c r="F14" s="2">
        <v>100</v>
      </c>
      <c r="G14" s="22">
        <v>0</v>
      </c>
      <c r="H14" s="23">
        <f t="shared" ref="H14" si="2">F14*(1-G14)</f>
        <v>100</v>
      </c>
      <c r="I14" s="23">
        <f t="shared" ref="I14" si="3">D14*H14</f>
        <v>100</v>
      </c>
    </row>
    <row r="15" spans="1:9" x14ac:dyDescent="0.25">
      <c r="A15" s="7">
        <v>12</v>
      </c>
      <c r="B15" s="31" t="s">
        <v>116</v>
      </c>
      <c r="C15" s="16" t="s">
        <v>86</v>
      </c>
      <c r="D15" s="2">
        <v>1</v>
      </c>
      <c r="E15" s="2" t="s">
        <v>2</v>
      </c>
      <c r="F15" s="2">
        <v>180</v>
      </c>
      <c r="G15" s="22">
        <v>0</v>
      </c>
      <c r="H15" s="23">
        <f t="shared" si="0"/>
        <v>180</v>
      </c>
      <c r="I15" s="23">
        <f t="shared" si="1"/>
        <v>180</v>
      </c>
    </row>
    <row r="16" spans="1:9" x14ac:dyDescent="0.25">
      <c r="A16" s="7">
        <v>13</v>
      </c>
      <c r="B16" s="31" t="s">
        <v>36</v>
      </c>
      <c r="C16" s="16" t="s">
        <v>71</v>
      </c>
      <c r="D16" s="2">
        <v>1</v>
      </c>
      <c r="E16" s="2" t="s">
        <v>2</v>
      </c>
      <c r="F16" s="2">
        <v>1800</v>
      </c>
      <c r="G16" s="22">
        <v>0</v>
      </c>
      <c r="H16" s="23">
        <f t="shared" si="0"/>
        <v>1800</v>
      </c>
      <c r="I16" s="23">
        <f t="shared" si="1"/>
        <v>1800</v>
      </c>
    </row>
    <row r="17" spans="1:14" x14ac:dyDescent="0.25">
      <c r="A17" s="7">
        <v>14</v>
      </c>
      <c r="B17" s="31" t="s">
        <v>35</v>
      </c>
      <c r="C17" s="16" t="s">
        <v>71</v>
      </c>
      <c r="D17" s="2">
        <v>1</v>
      </c>
      <c r="E17" s="2" t="s">
        <v>2</v>
      </c>
      <c r="F17" s="2">
        <v>315</v>
      </c>
      <c r="G17" s="22">
        <v>0.35</v>
      </c>
      <c r="H17" s="23">
        <f t="shared" si="0"/>
        <v>204.75</v>
      </c>
      <c r="I17" s="23">
        <f t="shared" si="1"/>
        <v>204.75</v>
      </c>
    </row>
    <row r="18" spans="1:14" x14ac:dyDescent="0.25">
      <c r="A18" s="7">
        <v>15</v>
      </c>
      <c r="B18" s="88" t="s">
        <v>50</v>
      </c>
      <c r="C18" s="89" t="s">
        <v>52</v>
      </c>
      <c r="D18" s="85">
        <v>1</v>
      </c>
      <c r="E18" s="85" t="s">
        <v>2</v>
      </c>
      <c r="F18" s="85">
        <v>800</v>
      </c>
      <c r="G18" s="86">
        <v>0</v>
      </c>
      <c r="H18" s="87">
        <f t="shared" si="0"/>
        <v>800</v>
      </c>
      <c r="I18" s="87">
        <f t="shared" si="1"/>
        <v>800</v>
      </c>
    </row>
    <row r="19" spans="1:14" s="52" customFormat="1" x14ac:dyDescent="0.25">
      <c r="A19" s="7">
        <v>16</v>
      </c>
      <c r="B19" s="35" t="s">
        <v>94</v>
      </c>
      <c r="C19" s="39" t="s">
        <v>71</v>
      </c>
      <c r="D19" s="2">
        <v>1</v>
      </c>
      <c r="E19" s="2" t="s">
        <v>2</v>
      </c>
      <c r="F19" s="2">
        <v>2600</v>
      </c>
      <c r="G19" s="22">
        <v>0</v>
      </c>
      <c r="H19" s="23">
        <f t="shared" si="0"/>
        <v>2600</v>
      </c>
      <c r="I19" s="23">
        <f t="shared" si="1"/>
        <v>2600</v>
      </c>
      <c r="J19" s="52" t="s">
        <v>67</v>
      </c>
    </row>
    <row r="20" spans="1:14" x14ac:dyDescent="0.25">
      <c r="A20" s="7"/>
      <c r="B20" s="3"/>
      <c r="C20" s="16"/>
      <c r="D20" s="2"/>
      <c r="E20" s="2"/>
      <c r="F20" s="2"/>
      <c r="G20" s="22"/>
      <c r="H20" s="23"/>
      <c r="I20" s="23"/>
    </row>
    <row r="21" spans="1:14" x14ac:dyDescent="0.25">
      <c r="A21" s="6" t="s">
        <v>24</v>
      </c>
      <c r="B21" s="53" t="s">
        <v>53</v>
      </c>
      <c r="C21" s="54"/>
      <c r="D21" s="55"/>
      <c r="E21" s="56"/>
      <c r="F21" s="56"/>
      <c r="G21" s="22"/>
      <c r="H21" s="23"/>
      <c r="I21" s="23"/>
    </row>
    <row r="22" spans="1:14" x14ac:dyDescent="0.25">
      <c r="A22" s="7">
        <v>1</v>
      </c>
      <c r="B22" s="3" t="s">
        <v>125</v>
      </c>
      <c r="C22" s="16" t="s">
        <v>71</v>
      </c>
      <c r="D22" s="2">
        <v>1</v>
      </c>
      <c r="E22" s="2" t="s">
        <v>2</v>
      </c>
      <c r="F22" s="17">
        <v>393100</v>
      </c>
      <c r="G22" s="22">
        <v>0.65</v>
      </c>
      <c r="H22" s="23">
        <f t="shared" si="0"/>
        <v>137585</v>
      </c>
      <c r="I22" s="23">
        <f t="shared" si="1"/>
        <v>137585</v>
      </c>
    </row>
    <row r="23" spans="1:14" x14ac:dyDescent="0.25">
      <c r="A23" s="7">
        <v>2</v>
      </c>
      <c r="B23" s="3" t="s">
        <v>11</v>
      </c>
      <c r="C23" s="16" t="s">
        <v>86</v>
      </c>
      <c r="D23" s="2">
        <v>1</v>
      </c>
      <c r="E23" s="2" t="s">
        <v>4</v>
      </c>
      <c r="F23" s="2">
        <v>210</v>
      </c>
      <c r="G23" s="22">
        <v>0</v>
      </c>
      <c r="H23" s="23">
        <f t="shared" si="0"/>
        <v>210</v>
      </c>
      <c r="I23" s="23">
        <f t="shared" si="1"/>
        <v>210</v>
      </c>
    </row>
    <row r="24" spans="1:14" x14ac:dyDescent="0.25">
      <c r="A24" s="7">
        <v>3</v>
      </c>
      <c r="B24" s="3" t="s">
        <v>27</v>
      </c>
      <c r="C24" s="16" t="s">
        <v>71</v>
      </c>
      <c r="D24" s="2">
        <v>4</v>
      </c>
      <c r="E24" s="2" t="s">
        <v>2</v>
      </c>
      <c r="F24" s="2">
        <v>318</v>
      </c>
      <c r="G24" s="22">
        <v>0.6</v>
      </c>
      <c r="H24" s="23">
        <f t="shared" si="0"/>
        <v>127.2</v>
      </c>
      <c r="I24" s="23">
        <f t="shared" si="1"/>
        <v>508.8</v>
      </c>
    </row>
    <row r="25" spans="1:14" x14ac:dyDescent="0.25">
      <c r="A25" s="7">
        <v>4</v>
      </c>
      <c r="B25" s="3" t="s">
        <v>26</v>
      </c>
      <c r="C25" s="16" t="s">
        <v>64</v>
      </c>
      <c r="D25" s="2">
        <v>3</v>
      </c>
      <c r="E25" s="2" t="s">
        <v>2</v>
      </c>
      <c r="F25" s="2">
        <v>900</v>
      </c>
      <c r="G25" s="22">
        <v>0</v>
      </c>
      <c r="H25" s="23">
        <f t="shared" si="0"/>
        <v>900</v>
      </c>
      <c r="I25" s="23">
        <f t="shared" si="1"/>
        <v>2700</v>
      </c>
    </row>
    <row r="26" spans="1:14" x14ac:dyDescent="0.25">
      <c r="A26" s="7">
        <v>5</v>
      </c>
      <c r="B26" s="4" t="s">
        <v>75</v>
      </c>
      <c r="C26" s="58" t="s">
        <v>71</v>
      </c>
      <c r="D26" s="59">
        <v>1</v>
      </c>
      <c r="E26" s="59" t="s">
        <v>2</v>
      </c>
      <c r="F26" s="2">
        <v>7665</v>
      </c>
      <c r="G26" s="22">
        <v>0.35</v>
      </c>
      <c r="H26" s="23">
        <f t="shared" si="0"/>
        <v>4982.25</v>
      </c>
      <c r="I26" s="23">
        <f t="shared" si="1"/>
        <v>4982.25</v>
      </c>
    </row>
    <row r="27" spans="1:14" x14ac:dyDescent="0.25">
      <c r="A27" s="7">
        <v>6</v>
      </c>
      <c r="B27" s="51" t="s">
        <v>55</v>
      </c>
      <c r="C27" s="16" t="s">
        <v>71</v>
      </c>
      <c r="D27" s="2">
        <v>1</v>
      </c>
      <c r="E27" s="2" t="s">
        <v>2</v>
      </c>
      <c r="F27" s="2">
        <v>1080</v>
      </c>
      <c r="G27" s="22">
        <v>0.6</v>
      </c>
      <c r="H27" s="23">
        <f t="shared" si="0"/>
        <v>432</v>
      </c>
      <c r="I27" s="23">
        <f t="shared" si="1"/>
        <v>432</v>
      </c>
    </row>
    <row r="28" spans="1:14" x14ac:dyDescent="0.25">
      <c r="A28" s="7">
        <v>7</v>
      </c>
      <c r="B28" s="3" t="s">
        <v>14</v>
      </c>
      <c r="C28" s="16" t="s">
        <v>5</v>
      </c>
      <c r="D28" s="2">
        <v>2</v>
      </c>
      <c r="E28" s="2" t="s">
        <v>2</v>
      </c>
      <c r="F28" s="2">
        <v>2400</v>
      </c>
      <c r="G28" s="22">
        <v>0</v>
      </c>
      <c r="H28" s="23">
        <f t="shared" si="0"/>
        <v>2400</v>
      </c>
      <c r="I28" s="23">
        <f t="shared" si="1"/>
        <v>4800</v>
      </c>
    </row>
    <row r="29" spans="1:14" x14ac:dyDescent="0.25">
      <c r="A29" s="7">
        <v>8</v>
      </c>
      <c r="B29" s="3" t="s">
        <v>15</v>
      </c>
      <c r="C29" s="16" t="s">
        <v>5</v>
      </c>
      <c r="D29" s="2">
        <v>2</v>
      </c>
      <c r="E29" s="2" t="s">
        <v>2</v>
      </c>
      <c r="F29" s="2">
        <v>100</v>
      </c>
      <c r="G29" s="22">
        <v>0</v>
      </c>
      <c r="H29" s="23">
        <f t="shared" si="0"/>
        <v>100</v>
      </c>
      <c r="I29" s="23">
        <f t="shared" si="1"/>
        <v>200</v>
      </c>
    </row>
    <row r="30" spans="1:14" x14ac:dyDescent="0.25">
      <c r="A30" s="7">
        <v>9</v>
      </c>
      <c r="B30" s="3" t="s">
        <v>16</v>
      </c>
      <c r="C30" s="16" t="s">
        <v>5</v>
      </c>
      <c r="D30" s="2">
        <v>2</v>
      </c>
      <c r="E30" s="2" t="s">
        <v>2</v>
      </c>
      <c r="F30" s="2">
        <v>750</v>
      </c>
      <c r="G30" s="22">
        <v>0</v>
      </c>
      <c r="H30" s="23">
        <f t="shared" si="0"/>
        <v>750</v>
      </c>
      <c r="I30" s="23">
        <f t="shared" si="1"/>
        <v>1500</v>
      </c>
      <c r="L30" t="s">
        <v>73</v>
      </c>
      <c r="M30">
        <f>6225*2</f>
        <v>12450</v>
      </c>
      <c r="N30">
        <f>4982*2</f>
        <v>9964</v>
      </c>
    </row>
    <row r="31" spans="1:14" x14ac:dyDescent="0.25">
      <c r="A31" s="7">
        <v>10</v>
      </c>
      <c r="B31" s="31" t="s">
        <v>115</v>
      </c>
      <c r="C31" s="16" t="s">
        <v>86</v>
      </c>
      <c r="D31" s="2">
        <v>1</v>
      </c>
      <c r="E31" s="2" t="s">
        <v>2</v>
      </c>
      <c r="F31" s="2">
        <v>150</v>
      </c>
      <c r="G31" s="22">
        <v>0</v>
      </c>
      <c r="H31" s="23">
        <f t="shared" si="0"/>
        <v>150</v>
      </c>
      <c r="I31" s="23">
        <f t="shared" si="1"/>
        <v>150</v>
      </c>
      <c r="L31" t="s">
        <v>72</v>
      </c>
      <c r="M31">
        <f>5900*12</f>
        <v>70800</v>
      </c>
      <c r="N31">
        <f>4413*12</f>
        <v>52956</v>
      </c>
    </row>
    <row r="32" spans="1:14" x14ac:dyDescent="0.25">
      <c r="A32" s="7">
        <v>11</v>
      </c>
      <c r="B32" s="31" t="s">
        <v>116</v>
      </c>
      <c r="C32" s="16" t="s">
        <v>86</v>
      </c>
      <c r="D32" s="2">
        <v>1</v>
      </c>
      <c r="E32" s="2" t="s">
        <v>2</v>
      </c>
      <c r="F32" s="2">
        <v>180</v>
      </c>
      <c r="G32" s="22">
        <v>0</v>
      </c>
      <c r="H32" s="23">
        <f t="shared" si="0"/>
        <v>180</v>
      </c>
      <c r="I32" s="23">
        <f t="shared" si="1"/>
        <v>180</v>
      </c>
      <c r="M32">
        <f>SUM(M30:M31)</f>
        <v>83250</v>
      </c>
      <c r="N32">
        <f>SUM(N30:N31)</f>
        <v>62920</v>
      </c>
    </row>
    <row r="33" spans="1:14" x14ac:dyDescent="0.25">
      <c r="A33" s="7">
        <v>12</v>
      </c>
      <c r="B33" s="31" t="s">
        <v>36</v>
      </c>
      <c r="C33" s="16" t="s">
        <v>71</v>
      </c>
      <c r="D33" s="2">
        <v>1</v>
      </c>
      <c r="E33" s="2" t="s">
        <v>2</v>
      </c>
      <c r="F33" s="2">
        <v>1800</v>
      </c>
      <c r="G33" s="22">
        <v>0</v>
      </c>
      <c r="H33" s="23">
        <f t="shared" si="0"/>
        <v>1800</v>
      </c>
      <c r="I33" s="23">
        <f t="shared" si="1"/>
        <v>1800</v>
      </c>
      <c r="M33">
        <v>19000</v>
      </c>
      <c r="N33">
        <v>19000</v>
      </c>
    </row>
    <row r="34" spans="1:14" x14ac:dyDescent="0.25">
      <c r="A34" s="7">
        <v>13</v>
      </c>
      <c r="B34" s="31" t="s">
        <v>35</v>
      </c>
      <c r="C34" s="16" t="s">
        <v>71</v>
      </c>
      <c r="D34" s="2">
        <v>1</v>
      </c>
      <c r="E34" s="2" t="s">
        <v>2</v>
      </c>
      <c r="F34" s="2">
        <v>315</v>
      </c>
      <c r="G34" s="22">
        <v>0.35</v>
      </c>
      <c r="H34" s="23">
        <f t="shared" si="0"/>
        <v>204.75</v>
      </c>
      <c r="I34" s="23">
        <f t="shared" si="1"/>
        <v>204.75</v>
      </c>
      <c r="M34">
        <f>SUM(M32:M33)</f>
        <v>102250</v>
      </c>
    </row>
    <row r="35" spans="1:14" x14ac:dyDescent="0.25">
      <c r="A35" s="7">
        <v>15</v>
      </c>
      <c r="B35" s="88" t="s">
        <v>50</v>
      </c>
      <c r="C35" s="89" t="s">
        <v>52</v>
      </c>
      <c r="D35" s="85">
        <v>1</v>
      </c>
      <c r="E35" s="85" t="s">
        <v>2</v>
      </c>
      <c r="F35" s="85">
        <v>800</v>
      </c>
      <c r="G35" s="86">
        <v>0</v>
      </c>
      <c r="H35" s="87">
        <f t="shared" si="0"/>
        <v>800</v>
      </c>
      <c r="I35" s="87">
        <f t="shared" si="1"/>
        <v>800</v>
      </c>
    </row>
    <row r="36" spans="1:14" x14ac:dyDescent="0.25">
      <c r="A36" s="7">
        <v>16</v>
      </c>
      <c r="B36" s="35" t="s">
        <v>94</v>
      </c>
      <c r="C36" s="39" t="s">
        <v>71</v>
      </c>
      <c r="D36" s="2">
        <v>1</v>
      </c>
      <c r="E36" s="2" t="s">
        <v>2</v>
      </c>
      <c r="F36" s="2">
        <v>2600</v>
      </c>
      <c r="G36" s="22">
        <v>0</v>
      </c>
      <c r="H36" s="23">
        <f t="shared" si="0"/>
        <v>2600</v>
      </c>
      <c r="I36" s="23">
        <f t="shared" si="1"/>
        <v>2600</v>
      </c>
      <c r="J36" t="s">
        <v>67</v>
      </c>
    </row>
    <row r="37" spans="1:14" x14ac:dyDescent="0.25">
      <c r="A37" s="7"/>
      <c r="B37" s="12"/>
      <c r="C37" s="11"/>
      <c r="D37" s="47"/>
      <c r="E37" s="47"/>
      <c r="F37" s="47"/>
      <c r="G37" s="48"/>
      <c r="H37" s="49"/>
      <c r="I37" s="49"/>
    </row>
    <row r="38" spans="1:14" x14ac:dyDescent="0.25">
      <c r="A38" s="7"/>
      <c r="B38" s="40" t="s">
        <v>17</v>
      </c>
      <c r="C38" s="11"/>
      <c r="D38" s="47"/>
      <c r="E38" s="47"/>
      <c r="F38" s="47"/>
      <c r="G38" s="48"/>
      <c r="H38" s="49"/>
      <c r="I38" s="49"/>
    </row>
    <row r="39" spans="1:14" x14ac:dyDescent="0.25">
      <c r="A39" s="7">
        <v>1</v>
      </c>
      <c r="B39" s="31" t="s">
        <v>87</v>
      </c>
      <c r="C39" s="27" t="s">
        <v>71</v>
      </c>
      <c r="D39" s="18">
        <v>1</v>
      </c>
      <c r="E39" s="2" t="s">
        <v>2</v>
      </c>
      <c r="F39" s="19">
        <v>73300</v>
      </c>
      <c r="G39" s="22">
        <v>0.62</v>
      </c>
      <c r="H39" s="23">
        <f t="shared" si="0"/>
        <v>27854</v>
      </c>
      <c r="I39" s="23">
        <f t="shared" si="1"/>
        <v>27854</v>
      </c>
    </row>
    <row r="40" spans="1:14" x14ac:dyDescent="0.25">
      <c r="A40" s="7">
        <v>2</v>
      </c>
      <c r="B40" s="3" t="s">
        <v>77</v>
      </c>
      <c r="C40" s="58" t="s">
        <v>118</v>
      </c>
      <c r="D40" s="2">
        <v>3</v>
      </c>
      <c r="E40" s="2" t="s">
        <v>2</v>
      </c>
      <c r="F40" s="2">
        <v>600</v>
      </c>
      <c r="G40" s="22">
        <v>0</v>
      </c>
      <c r="H40" s="23">
        <f t="shared" si="0"/>
        <v>600</v>
      </c>
      <c r="I40" s="23">
        <f t="shared" si="1"/>
        <v>1800</v>
      </c>
      <c r="L40">
        <v>1800</v>
      </c>
    </row>
    <row r="41" spans="1:14" x14ac:dyDescent="0.25">
      <c r="A41" s="7">
        <v>3</v>
      </c>
      <c r="B41" s="3" t="s">
        <v>27</v>
      </c>
      <c r="C41" s="16" t="s">
        <v>71</v>
      </c>
      <c r="D41" s="2">
        <v>4</v>
      </c>
      <c r="E41" s="2" t="s">
        <v>2</v>
      </c>
      <c r="F41" s="2">
        <v>318</v>
      </c>
      <c r="G41" s="22">
        <v>0.6</v>
      </c>
      <c r="H41" s="23">
        <f t="shared" si="0"/>
        <v>127.2</v>
      </c>
      <c r="I41" s="23">
        <f t="shared" si="1"/>
        <v>508.8</v>
      </c>
    </row>
    <row r="42" spans="1:14" x14ac:dyDescent="0.25">
      <c r="A42" s="7">
        <v>4</v>
      </c>
      <c r="B42" s="3" t="s">
        <v>11</v>
      </c>
      <c r="C42" s="16" t="s">
        <v>86</v>
      </c>
      <c r="D42" s="2">
        <v>1</v>
      </c>
      <c r="E42" s="2" t="s">
        <v>4</v>
      </c>
      <c r="F42" s="2">
        <v>210</v>
      </c>
      <c r="G42" s="22">
        <v>0</v>
      </c>
      <c r="H42" s="23">
        <f t="shared" si="0"/>
        <v>210</v>
      </c>
      <c r="I42" s="23">
        <f t="shared" si="1"/>
        <v>210</v>
      </c>
    </row>
    <row r="43" spans="1:14" x14ac:dyDescent="0.25">
      <c r="A43" s="7">
        <v>5</v>
      </c>
      <c r="B43" s="36" t="s">
        <v>102</v>
      </c>
      <c r="C43" s="16" t="s">
        <v>71</v>
      </c>
      <c r="D43" s="2">
        <v>1</v>
      </c>
      <c r="E43" s="2" t="s">
        <v>2</v>
      </c>
      <c r="F43" s="19">
        <v>4760</v>
      </c>
      <c r="G43" s="22">
        <v>0.6</v>
      </c>
      <c r="H43" s="23">
        <f t="shared" si="0"/>
        <v>1904</v>
      </c>
      <c r="I43" s="23">
        <f t="shared" si="1"/>
        <v>1904</v>
      </c>
    </row>
    <row r="44" spans="1:14" x14ac:dyDescent="0.25">
      <c r="A44" s="7">
        <v>6</v>
      </c>
      <c r="B44" s="36" t="s">
        <v>101</v>
      </c>
      <c r="C44" s="16" t="s">
        <v>71</v>
      </c>
      <c r="D44" s="2">
        <v>1</v>
      </c>
      <c r="E44" s="2" t="s">
        <v>2</v>
      </c>
      <c r="F44" s="19">
        <v>13300</v>
      </c>
      <c r="G44" s="22">
        <v>0.55000000000000004</v>
      </c>
      <c r="H44" s="23">
        <f t="shared" si="0"/>
        <v>5984.9999999999991</v>
      </c>
      <c r="I44" s="23">
        <f t="shared" si="1"/>
        <v>5984.9999999999991</v>
      </c>
    </row>
    <row r="45" spans="1:14" x14ac:dyDescent="0.25">
      <c r="A45" s="7">
        <v>7</v>
      </c>
      <c r="B45" s="3" t="s">
        <v>6</v>
      </c>
      <c r="C45" s="16" t="s">
        <v>71</v>
      </c>
      <c r="D45" s="2">
        <v>1</v>
      </c>
      <c r="E45" s="2" t="s">
        <v>2</v>
      </c>
      <c r="F45" s="19"/>
      <c r="G45" s="22">
        <v>0.4</v>
      </c>
      <c r="H45" s="23">
        <f t="shared" si="0"/>
        <v>0</v>
      </c>
      <c r="I45" s="23">
        <f t="shared" si="1"/>
        <v>0</v>
      </c>
    </row>
    <row r="46" spans="1:14" x14ac:dyDescent="0.25">
      <c r="A46" s="7">
        <v>8</v>
      </c>
      <c r="B46" s="4" t="s">
        <v>74</v>
      </c>
      <c r="C46" s="58" t="s">
        <v>71</v>
      </c>
      <c r="D46" s="59">
        <v>1</v>
      </c>
      <c r="E46" s="59" t="s">
        <v>2</v>
      </c>
      <c r="F46" s="59">
        <v>6790</v>
      </c>
      <c r="G46" s="60">
        <v>0.35</v>
      </c>
      <c r="H46" s="61">
        <f t="shared" si="0"/>
        <v>4413.5</v>
      </c>
      <c r="I46" s="61">
        <f t="shared" si="1"/>
        <v>4413.5</v>
      </c>
    </row>
    <row r="47" spans="1:14" x14ac:dyDescent="0.25">
      <c r="A47" s="7"/>
      <c r="B47" s="33"/>
      <c r="C47" s="16"/>
      <c r="D47" s="2"/>
      <c r="E47" s="2"/>
      <c r="F47" s="19"/>
      <c r="G47" s="22"/>
      <c r="H47" s="23"/>
      <c r="I47" s="23"/>
    </row>
    <row r="48" spans="1:14" x14ac:dyDescent="0.25">
      <c r="A48" s="7">
        <v>1</v>
      </c>
      <c r="B48" s="31" t="s">
        <v>40</v>
      </c>
      <c r="C48" s="27" t="s">
        <v>71</v>
      </c>
      <c r="D48" s="18">
        <v>1</v>
      </c>
      <c r="E48" s="17" t="s">
        <v>2</v>
      </c>
      <c r="F48" s="19">
        <v>51700</v>
      </c>
      <c r="G48" s="22">
        <v>0.62</v>
      </c>
      <c r="H48" s="23">
        <f t="shared" si="0"/>
        <v>19646</v>
      </c>
      <c r="I48" s="23">
        <f t="shared" si="1"/>
        <v>19646</v>
      </c>
    </row>
    <row r="49" spans="1:12" x14ac:dyDescent="0.25">
      <c r="A49" s="7">
        <v>2</v>
      </c>
      <c r="B49" s="3" t="s">
        <v>79</v>
      </c>
      <c r="C49" s="58" t="s">
        <v>64</v>
      </c>
      <c r="D49" s="2">
        <v>3</v>
      </c>
      <c r="E49" s="17" t="s">
        <v>2</v>
      </c>
      <c r="F49" s="2">
        <v>600</v>
      </c>
      <c r="G49" s="22">
        <v>0</v>
      </c>
      <c r="H49" s="23">
        <f t="shared" si="0"/>
        <v>600</v>
      </c>
      <c r="I49" s="23">
        <f t="shared" si="1"/>
        <v>1800</v>
      </c>
      <c r="L49">
        <v>1800</v>
      </c>
    </row>
    <row r="50" spans="1:12" x14ac:dyDescent="0.25">
      <c r="A50" s="7">
        <v>3</v>
      </c>
      <c r="B50" s="3" t="s">
        <v>27</v>
      </c>
      <c r="C50" s="16" t="s">
        <v>71</v>
      </c>
      <c r="D50" s="2">
        <v>4</v>
      </c>
      <c r="E50" s="2" t="s">
        <v>2</v>
      </c>
      <c r="F50" s="2">
        <v>318</v>
      </c>
      <c r="G50" s="22">
        <v>0.6</v>
      </c>
      <c r="H50" s="23">
        <f t="shared" si="0"/>
        <v>127.2</v>
      </c>
      <c r="I50" s="23">
        <f t="shared" si="1"/>
        <v>508.8</v>
      </c>
    </row>
    <row r="51" spans="1:12" x14ac:dyDescent="0.25">
      <c r="A51" s="7">
        <v>4</v>
      </c>
      <c r="B51" s="3" t="s">
        <v>11</v>
      </c>
      <c r="C51" s="16" t="s">
        <v>86</v>
      </c>
      <c r="D51" s="2">
        <v>1</v>
      </c>
      <c r="E51" s="2" t="s">
        <v>4</v>
      </c>
      <c r="F51" s="2">
        <v>210</v>
      </c>
      <c r="G51" s="22">
        <v>0</v>
      </c>
      <c r="H51" s="23">
        <f t="shared" si="0"/>
        <v>210</v>
      </c>
      <c r="I51" s="23">
        <f t="shared" si="1"/>
        <v>210</v>
      </c>
    </row>
    <row r="52" spans="1:12" x14ac:dyDescent="0.25">
      <c r="A52" s="7">
        <v>5</v>
      </c>
      <c r="B52" s="36" t="s">
        <v>103</v>
      </c>
      <c r="C52" s="16" t="s">
        <v>71</v>
      </c>
      <c r="D52" s="2">
        <v>1</v>
      </c>
      <c r="E52" s="2" t="s">
        <v>2</v>
      </c>
      <c r="F52" s="19">
        <v>4680</v>
      </c>
      <c r="G52" s="22">
        <v>0.6</v>
      </c>
      <c r="H52" s="23">
        <f t="shared" si="0"/>
        <v>1872</v>
      </c>
      <c r="I52" s="23">
        <f t="shared" si="1"/>
        <v>1872</v>
      </c>
    </row>
    <row r="53" spans="1:12" x14ac:dyDescent="0.25">
      <c r="A53" s="7">
        <v>6</v>
      </c>
      <c r="B53" s="36" t="s">
        <v>104</v>
      </c>
      <c r="C53" s="16" t="s">
        <v>71</v>
      </c>
      <c r="D53" s="2">
        <v>1</v>
      </c>
      <c r="E53" s="2" t="s">
        <v>2</v>
      </c>
      <c r="F53" s="19">
        <v>6310</v>
      </c>
      <c r="G53" s="22">
        <v>0.53</v>
      </c>
      <c r="H53" s="23">
        <f t="shared" si="0"/>
        <v>2965.7</v>
      </c>
      <c r="I53" s="23">
        <f t="shared" si="1"/>
        <v>2965.7</v>
      </c>
    </row>
    <row r="54" spans="1:12" x14ac:dyDescent="0.25">
      <c r="A54" s="7">
        <v>7</v>
      </c>
      <c r="B54" s="3" t="s">
        <v>6</v>
      </c>
      <c r="C54" s="16" t="s">
        <v>71</v>
      </c>
      <c r="D54" s="2">
        <v>1</v>
      </c>
      <c r="E54" s="2" t="s">
        <v>2</v>
      </c>
      <c r="F54" s="19"/>
      <c r="G54" s="22">
        <v>0.4</v>
      </c>
      <c r="H54" s="23">
        <f t="shared" si="0"/>
        <v>0</v>
      </c>
      <c r="I54" s="23">
        <f t="shared" si="1"/>
        <v>0</v>
      </c>
    </row>
    <row r="55" spans="1:12" x14ac:dyDescent="0.25">
      <c r="A55" s="7">
        <v>8</v>
      </c>
      <c r="B55" s="4" t="s">
        <v>74</v>
      </c>
      <c r="C55" s="58" t="s">
        <v>71</v>
      </c>
      <c r="D55" s="59">
        <v>1</v>
      </c>
      <c r="E55" s="59" t="s">
        <v>2</v>
      </c>
      <c r="F55" s="59">
        <v>6790</v>
      </c>
      <c r="G55" s="60">
        <v>0.35</v>
      </c>
      <c r="H55" s="61">
        <f t="shared" si="0"/>
        <v>4413.5</v>
      </c>
      <c r="I55" s="61">
        <f t="shared" si="1"/>
        <v>4413.5</v>
      </c>
    </row>
    <row r="56" spans="1:12" x14ac:dyDescent="0.25">
      <c r="A56" s="7"/>
      <c r="B56" s="3"/>
      <c r="C56" s="16"/>
      <c r="D56" s="2"/>
      <c r="E56" s="2"/>
      <c r="F56" s="2"/>
      <c r="G56" s="22"/>
      <c r="H56" s="23"/>
      <c r="I56" s="23"/>
    </row>
    <row r="57" spans="1:12" x14ac:dyDescent="0.25">
      <c r="A57" s="7">
        <v>1</v>
      </c>
      <c r="B57" s="31" t="s">
        <v>44</v>
      </c>
      <c r="C57" s="27" t="s">
        <v>71</v>
      </c>
      <c r="D57" s="18">
        <v>1</v>
      </c>
      <c r="E57" s="2" t="s">
        <v>2</v>
      </c>
      <c r="F57" s="19">
        <v>73300</v>
      </c>
      <c r="G57" s="22">
        <v>0.62</v>
      </c>
      <c r="H57" s="23">
        <f t="shared" si="0"/>
        <v>27854</v>
      </c>
      <c r="I57" s="23">
        <f t="shared" si="1"/>
        <v>27854</v>
      </c>
    </row>
    <row r="58" spans="1:12" x14ac:dyDescent="0.25">
      <c r="A58" s="7">
        <v>2</v>
      </c>
      <c r="B58" s="3" t="s">
        <v>77</v>
      </c>
      <c r="C58" s="58" t="s">
        <v>64</v>
      </c>
      <c r="D58" s="2">
        <v>3</v>
      </c>
      <c r="E58" s="2" t="s">
        <v>2</v>
      </c>
      <c r="F58" s="2">
        <v>600</v>
      </c>
      <c r="G58" s="22">
        <v>0</v>
      </c>
      <c r="H58" s="23">
        <f t="shared" si="0"/>
        <v>600</v>
      </c>
      <c r="I58" s="23">
        <f t="shared" si="1"/>
        <v>1800</v>
      </c>
      <c r="L58">
        <v>1800</v>
      </c>
    </row>
    <row r="59" spans="1:12" x14ac:dyDescent="0.25">
      <c r="A59" s="7">
        <v>3</v>
      </c>
      <c r="B59" s="3" t="s">
        <v>27</v>
      </c>
      <c r="C59" s="16" t="s">
        <v>71</v>
      </c>
      <c r="D59" s="2">
        <v>4</v>
      </c>
      <c r="E59" s="2" t="s">
        <v>2</v>
      </c>
      <c r="F59" s="2">
        <v>318</v>
      </c>
      <c r="G59" s="22">
        <v>0.6</v>
      </c>
      <c r="H59" s="23">
        <f t="shared" si="0"/>
        <v>127.2</v>
      </c>
      <c r="I59" s="23">
        <f t="shared" si="1"/>
        <v>508.8</v>
      </c>
    </row>
    <row r="60" spans="1:12" x14ac:dyDescent="0.25">
      <c r="A60" s="7">
        <v>4</v>
      </c>
      <c r="B60" s="3" t="s">
        <v>11</v>
      </c>
      <c r="C60" s="16" t="s">
        <v>86</v>
      </c>
      <c r="D60" s="2">
        <v>1</v>
      </c>
      <c r="E60" s="2" t="s">
        <v>4</v>
      </c>
      <c r="F60" s="2">
        <v>210</v>
      </c>
      <c r="G60" s="22">
        <v>0</v>
      </c>
      <c r="H60" s="23">
        <f t="shared" si="0"/>
        <v>210</v>
      </c>
      <c r="I60" s="23">
        <f t="shared" si="1"/>
        <v>210</v>
      </c>
    </row>
    <row r="61" spans="1:12" x14ac:dyDescent="0.25">
      <c r="A61" s="7">
        <v>5</v>
      </c>
      <c r="B61" s="36" t="s">
        <v>100</v>
      </c>
      <c r="C61" s="16" t="s">
        <v>71</v>
      </c>
      <c r="D61" s="2">
        <v>1</v>
      </c>
      <c r="E61" s="2" t="s">
        <v>2</v>
      </c>
      <c r="F61" s="19">
        <v>4760</v>
      </c>
      <c r="G61" s="22">
        <v>0.6</v>
      </c>
      <c r="H61" s="23">
        <f t="shared" si="0"/>
        <v>1904</v>
      </c>
      <c r="I61" s="23">
        <f t="shared" si="1"/>
        <v>1904</v>
      </c>
    </row>
    <row r="62" spans="1:12" x14ac:dyDescent="0.25">
      <c r="A62" s="7">
        <v>6</v>
      </c>
      <c r="B62" s="36" t="s">
        <v>101</v>
      </c>
      <c r="C62" s="16" t="s">
        <v>71</v>
      </c>
      <c r="D62" s="2">
        <v>1</v>
      </c>
      <c r="E62" s="2" t="s">
        <v>2</v>
      </c>
      <c r="F62" s="19">
        <v>13300</v>
      </c>
      <c r="G62" s="22">
        <v>0.55000000000000004</v>
      </c>
      <c r="H62" s="23">
        <f t="shared" si="0"/>
        <v>5984.9999999999991</v>
      </c>
      <c r="I62" s="23">
        <f t="shared" si="1"/>
        <v>5984.9999999999991</v>
      </c>
    </row>
    <row r="63" spans="1:12" x14ac:dyDescent="0.25">
      <c r="A63" s="7">
        <v>7</v>
      </c>
      <c r="B63" s="3" t="s">
        <v>6</v>
      </c>
      <c r="C63" s="16" t="s">
        <v>71</v>
      </c>
      <c r="D63" s="2">
        <v>1</v>
      </c>
      <c r="E63" s="2" t="s">
        <v>2</v>
      </c>
      <c r="F63" s="19"/>
      <c r="G63" s="22">
        <v>0.4</v>
      </c>
      <c r="H63" s="23">
        <f t="shared" si="0"/>
        <v>0</v>
      </c>
      <c r="I63" s="23">
        <f t="shared" si="1"/>
        <v>0</v>
      </c>
    </row>
    <row r="64" spans="1:12" x14ac:dyDescent="0.25">
      <c r="A64" s="7">
        <v>8</v>
      </c>
      <c r="B64" s="4" t="s">
        <v>74</v>
      </c>
      <c r="C64" s="58" t="s">
        <v>71</v>
      </c>
      <c r="D64" s="59">
        <v>1</v>
      </c>
      <c r="E64" s="59" t="s">
        <v>2</v>
      </c>
      <c r="F64" s="59">
        <v>6790</v>
      </c>
      <c r="G64" s="60">
        <v>0.35</v>
      </c>
      <c r="H64" s="61">
        <f t="shared" si="0"/>
        <v>4413.5</v>
      </c>
      <c r="I64" s="61">
        <f t="shared" si="1"/>
        <v>4413.5</v>
      </c>
    </row>
    <row r="65" spans="1:12" x14ac:dyDescent="0.25">
      <c r="A65" s="7"/>
      <c r="B65" s="31"/>
      <c r="C65" s="16"/>
      <c r="D65" s="2"/>
      <c r="E65" s="2"/>
      <c r="F65" s="19"/>
      <c r="G65" s="22"/>
      <c r="H65" s="23"/>
      <c r="I65" s="23"/>
    </row>
    <row r="66" spans="1:12" x14ac:dyDescent="0.25">
      <c r="A66" s="7">
        <v>1</v>
      </c>
      <c r="B66" s="31" t="s">
        <v>38</v>
      </c>
      <c r="C66" s="27" t="s">
        <v>71</v>
      </c>
      <c r="D66" s="18">
        <v>1</v>
      </c>
      <c r="E66" s="2" t="s">
        <v>2</v>
      </c>
      <c r="F66" s="19">
        <v>40900</v>
      </c>
      <c r="G66" s="22">
        <v>0.62</v>
      </c>
      <c r="H66" s="23">
        <f t="shared" ref="H66:H127" si="4">F66*(1-G66)</f>
        <v>15542</v>
      </c>
      <c r="I66" s="23">
        <f t="shared" ref="I66:I127" si="5">D66*H66</f>
        <v>15542</v>
      </c>
    </row>
    <row r="67" spans="1:12" x14ac:dyDescent="0.25">
      <c r="A67" s="7">
        <v>2</v>
      </c>
      <c r="B67" s="4" t="s">
        <v>80</v>
      </c>
      <c r="C67" s="58" t="s">
        <v>64</v>
      </c>
      <c r="D67" s="59">
        <v>3</v>
      </c>
      <c r="E67" s="59" t="s">
        <v>2</v>
      </c>
      <c r="F67" s="59">
        <v>600</v>
      </c>
      <c r="G67" s="60">
        <v>0</v>
      </c>
      <c r="H67" s="61">
        <f t="shared" si="4"/>
        <v>600</v>
      </c>
      <c r="I67" s="61">
        <f t="shared" si="5"/>
        <v>1800</v>
      </c>
      <c r="L67">
        <v>900</v>
      </c>
    </row>
    <row r="68" spans="1:12" x14ac:dyDescent="0.25">
      <c r="A68" s="7">
        <v>3</v>
      </c>
      <c r="B68" s="4" t="s">
        <v>27</v>
      </c>
      <c r="C68" s="58" t="s">
        <v>71</v>
      </c>
      <c r="D68" s="59">
        <v>4</v>
      </c>
      <c r="E68" s="59" t="s">
        <v>2</v>
      </c>
      <c r="F68" s="59">
        <v>318</v>
      </c>
      <c r="G68" s="22">
        <v>0.6</v>
      </c>
      <c r="H68" s="61">
        <f t="shared" si="4"/>
        <v>127.2</v>
      </c>
      <c r="I68" s="61">
        <f t="shared" si="5"/>
        <v>508.8</v>
      </c>
    </row>
    <row r="69" spans="1:12" x14ac:dyDescent="0.25">
      <c r="A69" s="7">
        <v>4</v>
      </c>
      <c r="B69" s="4" t="s">
        <v>11</v>
      </c>
      <c r="C69" s="58" t="s">
        <v>86</v>
      </c>
      <c r="D69" s="59">
        <v>1</v>
      </c>
      <c r="E69" s="59" t="s">
        <v>4</v>
      </c>
      <c r="F69" s="59">
        <v>210</v>
      </c>
      <c r="G69" s="60">
        <v>0</v>
      </c>
      <c r="H69" s="61">
        <f t="shared" si="4"/>
        <v>210</v>
      </c>
      <c r="I69" s="61">
        <f t="shared" si="5"/>
        <v>210</v>
      </c>
    </row>
    <row r="70" spans="1:12" x14ac:dyDescent="0.25">
      <c r="A70" s="7">
        <v>5</v>
      </c>
      <c r="B70" s="36" t="s">
        <v>105</v>
      </c>
      <c r="C70" s="58" t="s">
        <v>71</v>
      </c>
      <c r="D70" s="59">
        <v>1</v>
      </c>
      <c r="E70" s="59" t="s">
        <v>2</v>
      </c>
      <c r="F70" s="62">
        <v>4760</v>
      </c>
      <c r="G70" s="22">
        <v>0.6</v>
      </c>
      <c r="H70" s="61">
        <f t="shared" si="4"/>
        <v>1904</v>
      </c>
      <c r="I70" s="61">
        <f t="shared" si="5"/>
        <v>1904</v>
      </c>
    </row>
    <row r="71" spans="1:12" x14ac:dyDescent="0.25">
      <c r="A71" s="7">
        <v>6</v>
      </c>
      <c r="B71" s="36" t="s">
        <v>106</v>
      </c>
      <c r="C71" s="58" t="s">
        <v>71</v>
      </c>
      <c r="D71" s="59">
        <v>1</v>
      </c>
      <c r="E71" s="59" t="s">
        <v>2</v>
      </c>
      <c r="F71" s="62">
        <v>6310</v>
      </c>
      <c r="G71" s="60">
        <v>0.6</v>
      </c>
      <c r="H71" s="61">
        <f t="shared" si="4"/>
        <v>2524</v>
      </c>
      <c r="I71" s="61">
        <f t="shared" si="5"/>
        <v>2524</v>
      </c>
    </row>
    <row r="72" spans="1:12" x14ac:dyDescent="0.25">
      <c r="A72" s="7">
        <v>7</v>
      </c>
      <c r="B72" s="4" t="s">
        <v>6</v>
      </c>
      <c r="C72" s="58" t="s">
        <v>71</v>
      </c>
      <c r="D72" s="59">
        <v>1</v>
      </c>
      <c r="E72" s="59" t="s">
        <v>2</v>
      </c>
      <c r="F72" s="62"/>
      <c r="G72" s="60">
        <v>0.4</v>
      </c>
      <c r="H72" s="61">
        <f t="shared" si="4"/>
        <v>0</v>
      </c>
      <c r="I72" s="61">
        <f t="shared" si="5"/>
        <v>0</v>
      </c>
    </row>
    <row r="73" spans="1:12" x14ac:dyDescent="0.25">
      <c r="A73" s="7">
        <v>8</v>
      </c>
      <c r="B73" s="4" t="s">
        <v>74</v>
      </c>
      <c r="C73" s="58" t="s">
        <v>71</v>
      </c>
      <c r="D73" s="59">
        <v>1</v>
      </c>
      <c r="E73" s="59" t="s">
        <v>2</v>
      </c>
      <c r="F73" s="59">
        <v>6790</v>
      </c>
      <c r="G73" s="60">
        <v>0.35</v>
      </c>
      <c r="H73" s="61">
        <f t="shared" si="4"/>
        <v>4413.5</v>
      </c>
      <c r="I73" s="61">
        <f t="shared" si="5"/>
        <v>4413.5</v>
      </c>
    </row>
    <row r="74" spans="1:12" x14ac:dyDescent="0.25">
      <c r="A74" s="7"/>
      <c r="B74" s="35"/>
      <c r="C74" s="58"/>
      <c r="D74" s="59"/>
      <c r="E74" s="59"/>
      <c r="F74" s="62"/>
      <c r="G74" s="60"/>
      <c r="H74" s="61"/>
      <c r="I74" s="61"/>
    </row>
    <row r="75" spans="1:12" x14ac:dyDescent="0.25">
      <c r="A75" s="7">
        <v>1</v>
      </c>
      <c r="B75" s="35" t="s">
        <v>38</v>
      </c>
      <c r="C75" s="39" t="s">
        <v>71</v>
      </c>
      <c r="D75" s="63">
        <v>1</v>
      </c>
      <c r="E75" s="59" t="s">
        <v>2</v>
      </c>
      <c r="F75" s="62">
        <v>40900</v>
      </c>
      <c r="G75" s="22">
        <v>0.62</v>
      </c>
      <c r="H75" s="61">
        <f t="shared" si="4"/>
        <v>15542</v>
      </c>
      <c r="I75" s="61">
        <f t="shared" si="5"/>
        <v>15542</v>
      </c>
    </row>
    <row r="76" spans="1:12" x14ac:dyDescent="0.25">
      <c r="A76" s="7">
        <v>2</v>
      </c>
      <c r="B76" s="4" t="s">
        <v>80</v>
      </c>
      <c r="C76" s="58" t="s">
        <v>64</v>
      </c>
      <c r="D76" s="59">
        <v>3</v>
      </c>
      <c r="E76" s="59" t="s">
        <v>2</v>
      </c>
      <c r="F76" s="59">
        <v>600</v>
      </c>
      <c r="G76" s="60">
        <v>0</v>
      </c>
      <c r="H76" s="61">
        <f t="shared" si="4"/>
        <v>600</v>
      </c>
      <c r="I76" s="61">
        <f t="shared" si="5"/>
        <v>1800</v>
      </c>
      <c r="L76">
        <v>900</v>
      </c>
    </row>
    <row r="77" spans="1:12" x14ac:dyDescent="0.25">
      <c r="A77" s="7">
        <v>3</v>
      </c>
      <c r="B77" s="4" t="s">
        <v>27</v>
      </c>
      <c r="C77" s="58" t="s">
        <v>71</v>
      </c>
      <c r="D77" s="59">
        <v>4</v>
      </c>
      <c r="E77" s="59" t="s">
        <v>2</v>
      </c>
      <c r="F77" s="59">
        <v>318</v>
      </c>
      <c r="G77" s="22">
        <v>0.6</v>
      </c>
      <c r="H77" s="61">
        <f t="shared" si="4"/>
        <v>127.2</v>
      </c>
      <c r="I77" s="61">
        <f t="shared" si="5"/>
        <v>508.8</v>
      </c>
    </row>
    <row r="78" spans="1:12" x14ac:dyDescent="0.25">
      <c r="A78" s="7">
        <v>4</v>
      </c>
      <c r="B78" s="4" t="s">
        <v>11</v>
      </c>
      <c r="C78" s="58" t="s">
        <v>86</v>
      </c>
      <c r="D78" s="59">
        <v>1</v>
      </c>
      <c r="E78" s="59" t="s">
        <v>4</v>
      </c>
      <c r="F78" s="59">
        <v>210</v>
      </c>
      <c r="G78" s="60">
        <v>0</v>
      </c>
      <c r="H78" s="61">
        <f t="shared" si="4"/>
        <v>210</v>
      </c>
      <c r="I78" s="61">
        <f t="shared" si="5"/>
        <v>210</v>
      </c>
    </row>
    <row r="79" spans="1:12" x14ac:dyDescent="0.25">
      <c r="A79" s="7">
        <v>5</v>
      </c>
      <c r="B79" s="36" t="s">
        <v>105</v>
      </c>
      <c r="C79" s="58" t="s">
        <v>71</v>
      </c>
      <c r="D79" s="59">
        <v>1</v>
      </c>
      <c r="E79" s="59" t="s">
        <v>2</v>
      </c>
      <c r="F79" s="62">
        <v>4760</v>
      </c>
      <c r="G79" s="22">
        <v>0.6</v>
      </c>
      <c r="H79" s="61">
        <f t="shared" si="4"/>
        <v>1904</v>
      </c>
      <c r="I79" s="61">
        <f t="shared" si="5"/>
        <v>1904</v>
      </c>
      <c r="L79" s="5"/>
    </row>
    <row r="80" spans="1:12" x14ac:dyDescent="0.25">
      <c r="A80" s="7">
        <v>6</v>
      </c>
      <c r="B80" s="36" t="s">
        <v>106</v>
      </c>
      <c r="C80" s="58" t="s">
        <v>71</v>
      </c>
      <c r="D80" s="59">
        <v>1</v>
      </c>
      <c r="E80" s="59" t="s">
        <v>2</v>
      </c>
      <c r="F80" s="62">
        <v>6310</v>
      </c>
      <c r="G80" s="60">
        <v>0.6</v>
      </c>
      <c r="H80" s="61">
        <f t="shared" si="4"/>
        <v>2524</v>
      </c>
      <c r="I80" s="61">
        <f t="shared" si="5"/>
        <v>2524</v>
      </c>
      <c r="L80" s="5"/>
    </row>
    <row r="81" spans="1:12" x14ac:dyDescent="0.25">
      <c r="A81" s="7">
        <v>7</v>
      </c>
      <c r="B81" s="4" t="s">
        <v>6</v>
      </c>
      <c r="C81" s="58" t="s">
        <v>71</v>
      </c>
      <c r="D81" s="59">
        <v>1</v>
      </c>
      <c r="E81" s="59" t="s">
        <v>2</v>
      </c>
      <c r="F81" s="62"/>
      <c r="G81" s="60">
        <v>0.4</v>
      </c>
      <c r="H81" s="61">
        <f t="shared" si="4"/>
        <v>0</v>
      </c>
      <c r="I81" s="61">
        <f t="shared" si="5"/>
        <v>0</v>
      </c>
    </row>
    <row r="82" spans="1:12" x14ac:dyDescent="0.25">
      <c r="A82" s="7">
        <v>8</v>
      </c>
      <c r="B82" s="4" t="s">
        <v>74</v>
      </c>
      <c r="C82" s="58" t="s">
        <v>71</v>
      </c>
      <c r="D82" s="59">
        <v>1</v>
      </c>
      <c r="E82" s="59" t="s">
        <v>2</v>
      </c>
      <c r="F82" s="59">
        <v>6790</v>
      </c>
      <c r="G82" s="60">
        <v>0.35</v>
      </c>
      <c r="H82" s="61">
        <f t="shared" si="4"/>
        <v>4413.5</v>
      </c>
      <c r="I82" s="61">
        <f t="shared" si="5"/>
        <v>4413.5</v>
      </c>
    </row>
    <row r="83" spans="1:12" x14ac:dyDescent="0.25">
      <c r="A83" s="7"/>
      <c r="B83" s="4"/>
      <c r="C83" s="58"/>
      <c r="D83" s="59"/>
      <c r="E83" s="59"/>
      <c r="F83" s="59"/>
      <c r="G83" s="60"/>
      <c r="H83" s="61"/>
      <c r="I83" s="61"/>
    </row>
    <row r="84" spans="1:12" x14ac:dyDescent="0.25">
      <c r="A84" s="7">
        <v>1</v>
      </c>
      <c r="B84" s="35" t="s">
        <v>42</v>
      </c>
      <c r="C84" s="39" t="s">
        <v>71</v>
      </c>
      <c r="D84" s="63">
        <v>1</v>
      </c>
      <c r="E84" s="59" t="s">
        <v>2</v>
      </c>
      <c r="F84" s="62">
        <v>51700</v>
      </c>
      <c r="G84" s="22">
        <v>0.62</v>
      </c>
      <c r="H84" s="61">
        <f t="shared" si="4"/>
        <v>19646</v>
      </c>
      <c r="I84" s="61">
        <f t="shared" si="5"/>
        <v>19646</v>
      </c>
    </row>
    <row r="85" spans="1:12" x14ac:dyDescent="0.25">
      <c r="A85" s="7">
        <v>2</v>
      </c>
      <c r="B85" s="4" t="s">
        <v>81</v>
      </c>
      <c r="C85" s="58" t="s">
        <v>64</v>
      </c>
      <c r="D85" s="59">
        <v>3</v>
      </c>
      <c r="E85" s="59" t="s">
        <v>2</v>
      </c>
      <c r="F85" s="59">
        <v>600</v>
      </c>
      <c r="G85" s="60">
        <v>0</v>
      </c>
      <c r="H85" s="61">
        <f t="shared" si="4"/>
        <v>600</v>
      </c>
      <c r="I85" s="61">
        <f t="shared" si="5"/>
        <v>1800</v>
      </c>
      <c r="L85">
        <v>1800</v>
      </c>
    </row>
    <row r="86" spans="1:12" x14ac:dyDescent="0.25">
      <c r="A86" s="7">
        <v>3</v>
      </c>
      <c r="B86" s="4" t="s">
        <v>27</v>
      </c>
      <c r="C86" s="58" t="s">
        <v>71</v>
      </c>
      <c r="D86" s="59">
        <v>4</v>
      </c>
      <c r="E86" s="59" t="s">
        <v>2</v>
      </c>
      <c r="F86" s="59">
        <v>318</v>
      </c>
      <c r="G86" s="22">
        <v>0.6</v>
      </c>
      <c r="H86" s="61">
        <f t="shared" si="4"/>
        <v>127.2</v>
      </c>
      <c r="I86" s="61">
        <f t="shared" si="5"/>
        <v>508.8</v>
      </c>
    </row>
    <row r="87" spans="1:12" x14ac:dyDescent="0.25">
      <c r="A87" s="7">
        <v>4</v>
      </c>
      <c r="B87" s="4" t="s">
        <v>11</v>
      </c>
      <c r="C87" s="58" t="s">
        <v>86</v>
      </c>
      <c r="D87" s="59">
        <v>1</v>
      </c>
      <c r="E87" s="59" t="s">
        <v>4</v>
      </c>
      <c r="F87" s="59">
        <v>210</v>
      </c>
      <c r="G87" s="60">
        <v>0</v>
      </c>
      <c r="H87" s="61">
        <f t="shared" si="4"/>
        <v>210</v>
      </c>
      <c r="I87" s="61">
        <f t="shared" si="5"/>
        <v>210</v>
      </c>
    </row>
    <row r="88" spans="1:12" x14ac:dyDescent="0.25">
      <c r="A88" s="7">
        <v>5</v>
      </c>
      <c r="B88" s="36" t="s">
        <v>107</v>
      </c>
      <c r="C88" s="58" t="s">
        <v>71</v>
      </c>
      <c r="D88" s="59">
        <v>1</v>
      </c>
      <c r="E88" s="59" t="s">
        <v>2</v>
      </c>
      <c r="F88" s="62">
        <v>4760</v>
      </c>
      <c r="G88" s="22">
        <v>0.6</v>
      </c>
      <c r="H88" s="61">
        <f t="shared" si="4"/>
        <v>1904</v>
      </c>
      <c r="I88" s="61">
        <f t="shared" si="5"/>
        <v>1904</v>
      </c>
    </row>
    <row r="89" spans="1:12" x14ac:dyDescent="0.25">
      <c r="A89" s="7">
        <v>6</v>
      </c>
      <c r="B89" s="36" t="s">
        <v>108</v>
      </c>
      <c r="C89" s="58" t="s">
        <v>71</v>
      </c>
      <c r="D89" s="59">
        <v>1</v>
      </c>
      <c r="E89" s="59" t="s">
        <v>2</v>
      </c>
      <c r="F89" s="62">
        <v>13300</v>
      </c>
      <c r="G89" s="60">
        <v>0.55000000000000004</v>
      </c>
      <c r="H89" s="61">
        <f t="shared" si="4"/>
        <v>5984.9999999999991</v>
      </c>
      <c r="I89" s="61">
        <f t="shared" si="5"/>
        <v>5984.9999999999991</v>
      </c>
    </row>
    <row r="90" spans="1:12" x14ac:dyDescent="0.25">
      <c r="A90" s="7">
        <v>7</v>
      </c>
      <c r="B90" s="4" t="s">
        <v>6</v>
      </c>
      <c r="C90" s="58" t="s">
        <v>71</v>
      </c>
      <c r="D90" s="59">
        <v>1</v>
      </c>
      <c r="E90" s="59" t="s">
        <v>2</v>
      </c>
      <c r="F90" s="62"/>
      <c r="G90" s="60">
        <v>0.4</v>
      </c>
      <c r="H90" s="61">
        <f t="shared" si="4"/>
        <v>0</v>
      </c>
      <c r="I90" s="61">
        <f t="shared" si="5"/>
        <v>0</v>
      </c>
    </row>
    <row r="91" spans="1:12" x14ac:dyDescent="0.25">
      <c r="A91" s="7">
        <v>8</v>
      </c>
      <c r="B91" s="4" t="s">
        <v>74</v>
      </c>
      <c r="C91" s="58" t="s">
        <v>71</v>
      </c>
      <c r="D91" s="59">
        <v>1</v>
      </c>
      <c r="E91" s="59" t="s">
        <v>2</v>
      </c>
      <c r="F91" s="59">
        <v>6790</v>
      </c>
      <c r="G91" s="60">
        <v>0.35</v>
      </c>
      <c r="H91" s="61">
        <f t="shared" si="4"/>
        <v>4413.5</v>
      </c>
      <c r="I91" s="61">
        <f t="shared" si="5"/>
        <v>4413.5</v>
      </c>
    </row>
    <row r="92" spans="1:12" x14ac:dyDescent="0.25">
      <c r="A92" s="7"/>
      <c r="B92" s="4"/>
      <c r="C92" s="58"/>
      <c r="D92" s="59"/>
      <c r="E92" s="59"/>
      <c r="F92" s="59"/>
      <c r="G92" s="60"/>
      <c r="H92" s="61"/>
      <c r="I92" s="61"/>
    </row>
    <row r="93" spans="1:12" x14ac:dyDescent="0.25">
      <c r="A93" s="7">
        <v>1</v>
      </c>
      <c r="B93" s="35" t="s">
        <v>41</v>
      </c>
      <c r="C93" s="39" t="s">
        <v>71</v>
      </c>
      <c r="D93" s="63">
        <v>1</v>
      </c>
      <c r="E93" s="59" t="s">
        <v>2</v>
      </c>
      <c r="F93" s="62">
        <v>51700</v>
      </c>
      <c r="G93" s="22">
        <v>0.62</v>
      </c>
      <c r="H93" s="61">
        <f t="shared" si="4"/>
        <v>19646</v>
      </c>
      <c r="I93" s="61">
        <f t="shared" si="5"/>
        <v>19646</v>
      </c>
    </row>
    <row r="94" spans="1:12" x14ac:dyDescent="0.25">
      <c r="A94" s="7">
        <v>2</v>
      </c>
      <c r="B94" s="4" t="s">
        <v>81</v>
      </c>
      <c r="C94" s="58" t="s">
        <v>64</v>
      </c>
      <c r="D94" s="59">
        <v>3</v>
      </c>
      <c r="E94" s="59" t="s">
        <v>2</v>
      </c>
      <c r="F94" s="59">
        <v>600</v>
      </c>
      <c r="G94" s="60">
        <v>0</v>
      </c>
      <c r="H94" s="61">
        <f t="shared" si="4"/>
        <v>600</v>
      </c>
      <c r="I94" s="61">
        <f t="shared" si="5"/>
        <v>1800</v>
      </c>
      <c r="L94">
        <v>1800</v>
      </c>
    </row>
    <row r="95" spans="1:12" x14ac:dyDescent="0.25">
      <c r="A95" s="7">
        <v>3</v>
      </c>
      <c r="B95" s="4" t="s">
        <v>27</v>
      </c>
      <c r="C95" s="58" t="s">
        <v>71</v>
      </c>
      <c r="D95" s="59">
        <v>4</v>
      </c>
      <c r="E95" s="59" t="s">
        <v>2</v>
      </c>
      <c r="F95" s="59">
        <v>318</v>
      </c>
      <c r="G95" s="22">
        <v>0.6</v>
      </c>
      <c r="H95" s="61">
        <f t="shared" si="4"/>
        <v>127.2</v>
      </c>
      <c r="I95" s="61">
        <f t="shared" si="5"/>
        <v>508.8</v>
      </c>
    </row>
    <row r="96" spans="1:12" x14ac:dyDescent="0.25">
      <c r="A96" s="7">
        <v>4</v>
      </c>
      <c r="B96" s="4" t="s">
        <v>11</v>
      </c>
      <c r="C96" s="58" t="s">
        <v>86</v>
      </c>
      <c r="D96" s="59">
        <v>1</v>
      </c>
      <c r="E96" s="59" t="s">
        <v>4</v>
      </c>
      <c r="F96" s="59">
        <v>210</v>
      </c>
      <c r="G96" s="60">
        <v>0</v>
      </c>
      <c r="H96" s="61">
        <f t="shared" si="4"/>
        <v>210</v>
      </c>
      <c r="I96" s="61">
        <f t="shared" si="5"/>
        <v>210</v>
      </c>
    </row>
    <row r="97" spans="1:12" x14ac:dyDescent="0.25">
      <c r="A97" s="7">
        <v>5</v>
      </c>
      <c r="B97" s="36" t="s">
        <v>109</v>
      </c>
      <c r="C97" s="58" t="s">
        <v>71</v>
      </c>
      <c r="D97" s="59">
        <v>1</v>
      </c>
      <c r="E97" s="59" t="s">
        <v>2</v>
      </c>
      <c r="F97" s="62">
        <v>4760</v>
      </c>
      <c r="G97" s="22">
        <v>0.6</v>
      </c>
      <c r="H97" s="61">
        <f t="shared" si="4"/>
        <v>1904</v>
      </c>
      <c r="I97" s="61">
        <f t="shared" si="5"/>
        <v>1904</v>
      </c>
    </row>
    <row r="98" spans="1:12" x14ac:dyDescent="0.25">
      <c r="A98" s="7">
        <v>6</v>
      </c>
      <c r="B98" s="36" t="s">
        <v>110</v>
      </c>
      <c r="C98" s="58" t="s">
        <v>71</v>
      </c>
      <c r="D98" s="59">
        <v>1</v>
      </c>
      <c r="E98" s="59" t="s">
        <v>2</v>
      </c>
      <c r="F98" s="62">
        <v>13300</v>
      </c>
      <c r="G98" s="60">
        <v>0.55000000000000004</v>
      </c>
      <c r="H98" s="61">
        <f t="shared" si="4"/>
        <v>5984.9999999999991</v>
      </c>
      <c r="I98" s="61">
        <f t="shared" si="5"/>
        <v>5984.9999999999991</v>
      </c>
    </row>
    <row r="99" spans="1:12" x14ac:dyDescent="0.25">
      <c r="A99" s="7">
        <v>7</v>
      </c>
      <c r="B99" s="4" t="s">
        <v>6</v>
      </c>
      <c r="C99" s="58" t="s">
        <v>71</v>
      </c>
      <c r="D99" s="59">
        <v>1</v>
      </c>
      <c r="E99" s="59" t="s">
        <v>2</v>
      </c>
      <c r="F99" s="62"/>
      <c r="G99" s="60">
        <v>0.4</v>
      </c>
      <c r="H99" s="61">
        <f t="shared" si="4"/>
        <v>0</v>
      </c>
      <c r="I99" s="61">
        <f t="shared" si="5"/>
        <v>0</v>
      </c>
    </row>
    <row r="100" spans="1:12" x14ac:dyDescent="0.25">
      <c r="A100" s="7">
        <v>8</v>
      </c>
      <c r="B100" s="4" t="s">
        <v>74</v>
      </c>
      <c r="C100" s="58" t="s">
        <v>71</v>
      </c>
      <c r="D100" s="59">
        <v>1</v>
      </c>
      <c r="E100" s="59" t="s">
        <v>2</v>
      </c>
      <c r="F100" s="59">
        <v>6790</v>
      </c>
      <c r="G100" s="60">
        <v>0.35</v>
      </c>
      <c r="H100" s="61">
        <f t="shared" si="4"/>
        <v>4413.5</v>
      </c>
      <c r="I100" s="61">
        <f t="shared" si="5"/>
        <v>4413.5</v>
      </c>
    </row>
    <row r="101" spans="1:12" x14ac:dyDescent="0.25">
      <c r="A101" s="7"/>
      <c r="B101" s="50"/>
      <c r="C101" s="64"/>
      <c r="D101" s="65"/>
      <c r="E101" s="65"/>
      <c r="F101" s="65"/>
      <c r="G101" s="66"/>
      <c r="H101" s="67"/>
      <c r="I101" s="67"/>
    </row>
    <row r="102" spans="1:12" x14ac:dyDescent="0.25">
      <c r="A102" s="7">
        <v>1</v>
      </c>
      <c r="B102" s="35" t="s">
        <v>42</v>
      </c>
      <c r="C102" s="39" t="s">
        <v>71</v>
      </c>
      <c r="D102" s="63">
        <v>1</v>
      </c>
      <c r="E102" s="59" t="s">
        <v>2</v>
      </c>
      <c r="F102" s="62">
        <v>51700</v>
      </c>
      <c r="G102" s="22">
        <v>0.62</v>
      </c>
      <c r="H102" s="61">
        <f t="shared" si="4"/>
        <v>19646</v>
      </c>
      <c r="I102" s="61">
        <f t="shared" si="5"/>
        <v>19646</v>
      </c>
    </row>
    <row r="103" spans="1:12" x14ac:dyDescent="0.25">
      <c r="A103" s="7">
        <v>2</v>
      </c>
      <c r="B103" s="4" t="s">
        <v>82</v>
      </c>
      <c r="C103" s="58" t="s">
        <v>64</v>
      </c>
      <c r="D103" s="59">
        <v>3</v>
      </c>
      <c r="E103" s="59" t="s">
        <v>2</v>
      </c>
      <c r="F103" s="59">
        <v>600</v>
      </c>
      <c r="G103" s="60">
        <v>0</v>
      </c>
      <c r="H103" s="61">
        <f t="shared" si="4"/>
        <v>600</v>
      </c>
      <c r="I103" s="61">
        <f t="shared" si="5"/>
        <v>1800</v>
      </c>
      <c r="L103">
        <v>1800</v>
      </c>
    </row>
    <row r="104" spans="1:12" x14ac:dyDescent="0.25">
      <c r="A104" s="7">
        <v>3</v>
      </c>
      <c r="B104" s="4" t="s">
        <v>27</v>
      </c>
      <c r="C104" s="58" t="s">
        <v>71</v>
      </c>
      <c r="D104" s="59">
        <v>4</v>
      </c>
      <c r="E104" s="59" t="s">
        <v>2</v>
      </c>
      <c r="F104" s="59">
        <v>318</v>
      </c>
      <c r="G104" s="22">
        <v>0.6</v>
      </c>
      <c r="H104" s="61">
        <f t="shared" si="4"/>
        <v>127.2</v>
      </c>
      <c r="I104" s="61">
        <f t="shared" si="5"/>
        <v>508.8</v>
      </c>
    </row>
    <row r="105" spans="1:12" x14ac:dyDescent="0.25">
      <c r="A105" s="7">
        <v>4</v>
      </c>
      <c r="B105" s="4" t="s">
        <v>11</v>
      </c>
      <c r="C105" s="58" t="s">
        <v>86</v>
      </c>
      <c r="D105" s="59">
        <v>1</v>
      </c>
      <c r="E105" s="59" t="s">
        <v>4</v>
      </c>
      <c r="F105" s="59">
        <v>210</v>
      </c>
      <c r="G105" s="60">
        <v>0</v>
      </c>
      <c r="H105" s="61">
        <f t="shared" si="4"/>
        <v>210</v>
      </c>
      <c r="I105" s="61">
        <f t="shared" si="5"/>
        <v>210</v>
      </c>
    </row>
    <row r="106" spans="1:12" x14ac:dyDescent="0.25">
      <c r="A106" s="7">
        <v>5</v>
      </c>
      <c r="B106" s="36" t="s">
        <v>107</v>
      </c>
      <c r="C106" s="58" t="s">
        <v>71</v>
      </c>
      <c r="D106" s="59">
        <v>1</v>
      </c>
      <c r="E106" s="59" t="s">
        <v>2</v>
      </c>
      <c r="F106" s="62">
        <v>4760</v>
      </c>
      <c r="G106" s="22">
        <v>0.6</v>
      </c>
      <c r="H106" s="61">
        <f t="shared" si="4"/>
        <v>1904</v>
      </c>
      <c r="I106" s="61">
        <f t="shared" si="5"/>
        <v>1904</v>
      </c>
    </row>
    <row r="107" spans="1:12" x14ac:dyDescent="0.25">
      <c r="A107" s="7">
        <v>6</v>
      </c>
      <c r="B107" s="36" t="s">
        <v>108</v>
      </c>
      <c r="C107" s="58" t="s">
        <v>71</v>
      </c>
      <c r="D107" s="59">
        <v>1</v>
      </c>
      <c r="E107" s="59" t="s">
        <v>2</v>
      </c>
      <c r="F107" s="62">
        <v>6410</v>
      </c>
      <c r="G107" s="60">
        <v>0.55000000000000004</v>
      </c>
      <c r="H107" s="61">
        <f t="shared" si="4"/>
        <v>2884.4999999999995</v>
      </c>
      <c r="I107" s="61">
        <f t="shared" si="5"/>
        <v>2884.4999999999995</v>
      </c>
    </row>
    <row r="108" spans="1:12" x14ac:dyDescent="0.25">
      <c r="A108" s="7">
        <v>7</v>
      </c>
      <c r="B108" s="4" t="s">
        <v>6</v>
      </c>
      <c r="C108" s="58" t="s">
        <v>71</v>
      </c>
      <c r="D108" s="59">
        <v>1</v>
      </c>
      <c r="E108" s="59" t="s">
        <v>2</v>
      </c>
      <c r="F108" s="62"/>
      <c r="G108" s="60">
        <v>0.4</v>
      </c>
      <c r="H108" s="61">
        <f t="shared" si="4"/>
        <v>0</v>
      </c>
      <c r="I108" s="61">
        <f t="shared" si="5"/>
        <v>0</v>
      </c>
    </row>
    <row r="109" spans="1:12" x14ac:dyDescent="0.25">
      <c r="A109" s="7">
        <v>8</v>
      </c>
      <c r="B109" s="4" t="s">
        <v>74</v>
      </c>
      <c r="C109" s="58" t="s">
        <v>71</v>
      </c>
      <c r="D109" s="59">
        <v>1</v>
      </c>
      <c r="E109" s="59" t="s">
        <v>2</v>
      </c>
      <c r="F109" s="59">
        <v>6790</v>
      </c>
      <c r="G109" s="60">
        <v>0.35</v>
      </c>
      <c r="H109" s="61">
        <f t="shared" si="4"/>
        <v>4413.5</v>
      </c>
      <c r="I109" s="61">
        <f t="shared" si="5"/>
        <v>4413.5</v>
      </c>
    </row>
    <row r="110" spans="1:12" x14ac:dyDescent="0.25">
      <c r="A110" s="7"/>
      <c r="B110" s="50"/>
      <c r="C110" s="64"/>
      <c r="D110" s="65"/>
      <c r="E110" s="65"/>
      <c r="F110" s="65"/>
      <c r="G110" s="66"/>
      <c r="H110" s="67"/>
      <c r="I110" s="67"/>
    </row>
    <row r="111" spans="1:12" x14ac:dyDescent="0.25">
      <c r="A111" s="7">
        <v>1</v>
      </c>
      <c r="B111" s="35" t="s">
        <v>43</v>
      </c>
      <c r="C111" s="39" t="s">
        <v>71</v>
      </c>
      <c r="D111" s="63">
        <v>1</v>
      </c>
      <c r="E111" s="59" t="s">
        <v>2</v>
      </c>
      <c r="F111" s="62">
        <v>70500</v>
      </c>
      <c r="G111" s="22">
        <v>0.62</v>
      </c>
      <c r="H111" s="61">
        <f t="shared" si="4"/>
        <v>26790</v>
      </c>
      <c r="I111" s="61">
        <f t="shared" si="5"/>
        <v>26790</v>
      </c>
    </row>
    <row r="112" spans="1:12" x14ac:dyDescent="0.25">
      <c r="A112" s="7">
        <v>2</v>
      </c>
      <c r="B112" s="4" t="s">
        <v>83</v>
      </c>
      <c r="C112" s="58" t="s">
        <v>64</v>
      </c>
      <c r="D112" s="59">
        <v>3</v>
      </c>
      <c r="E112" s="59" t="s">
        <v>2</v>
      </c>
      <c r="F112" s="59">
        <v>600</v>
      </c>
      <c r="G112" s="60">
        <v>0</v>
      </c>
      <c r="H112" s="61">
        <f t="shared" si="4"/>
        <v>600</v>
      </c>
      <c r="I112" s="61">
        <f t="shared" si="5"/>
        <v>1800</v>
      </c>
      <c r="L112">
        <v>1800</v>
      </c>
    </row>
    <row r="113" spans="1:12" x14ac:dyDescent="0.25">
      <c r="A113" s="7">
        <v>3</v>
      </c>
      <c r="B113" s="4" t="s">
        <v>27</v>
      </c>
      <c r="C113" s="58" t="s">
        <v>71</v>
      </c>
      <c r="D113" s="59">
        <v>4</v>
      </c>
      <c r="E113" s="59" t="s">
        <v>2</v>
      </c>
      <c r="F113" s="59">
        <v>318</v>
      </c>
      <c r="G113" s="22">
        <v>0.6</v>
      </c>
      <c r="H113" s="61">
        <f t="shared" si="4"/>
        <v>127.2</v>
      </c>
      <c r="I113" s="61">
        <f t="shared" si="5"/>
        <v>508.8</v>
      </c>
    </row>
    <row r="114" spans="1:12" x14ac:dyDescent="0.25">
      <c r="A114" s="7">
        <v>4</v>
      </c>
      <c r="B114" s="4" t="s">
        <v>11</v>
      </c>
      <c r="C114" s="58" t="s">
        <v>86</v>
      </c>
      <c r="D114" s="59">
        <v>1</v>
      </c>
      <c r="E114" s="59" t="s">
        <v>4</v>
      </c>
      <c r="F114" s="59">
        <v>210</v>
      </c>
      <c r="G114" s="60">
        <v>0</v>
      </c>
      <c r="H114" s="61">
        <f t="shared" si="4"/>
        <v>210</v>
      </c>
      <c r="I114" s="61">
        <f t="shared" si="5"/>
        <v>210</v>
      </c>
    </row>
    <row r="115" spans="1:12" x14ac:dyDescent="0.25">
      <c r="A115" s="7">
        <v>5</v>
      </c>
      <c r="B115" s="36" t="s">
        <v>111</v>
      </c>
      <c r="C115" s="58" t="s">
        <v>71</v>
      </c>
      <c r="D115" s="59">
        <v>1</v>
      </c>
      <c r="E115" s="59" t="s">
        <v>2</v>
      </c>
      <c r="F115" s="62">
        <v>4760</v>
      </c>
      <c r="G115" s="22">
        <v>0.6</v>
      </c>
      <c r="H115" s="61">
        <f t="shared" si="4"/>
        <v>1904</v>
      </c>
      <c r="I115" s="61">
        <f t="shared" si="5"/>
        <v>1904</v>
      </c>
    </row>
    <row r="116" spans="1:12" x14ac:dyDescent="0.25">
      <c r="A116" s="7">
        <v>6</v>
      </c>
      <c r="B116" s="36" t="s">
        <v>112</v>
      </c>
      <c r="C116" s="58" t="s">
        <v>71</v>
      </c>
      <c r="D116" s="59">
        <v>1</v>
      </c>
      <c r="E116" s="59" t="s">
        <v>2</v>
      </c>
      <c r="F116" s="62">
        <v>13300</v>
      </c>
      <c r="G116" s="60">
        <v>0.55000000000000004</v>
      </c>
      <c r="H116" s="61">
        <f t="shared" si="4"/>
        <v>5984.9999999999991</v>
      </c>
      <c r="I116" s="61">
        <f t="shared" si="5"/>
        <v>5984.9999999999991</v>
      </c>
    </row>
    <row r="117" spans="1:12" x14ac:dyDescent="0.25">
      <c r="A117" s="7">
        <v>7</v>
      </c>
      <c r="B117" s="4" t="s">
        <v>6</v>
      </c>
      <c r="C117" s="58" t="s">
        <v>71</v>
      </c>
      <c r="D117" s="59">
        <v>1</v>
      </c>
      <c r="E117" s="59" t="s">
        <v>2</v>
      </c>
      <c r="F117" s="62"/>
      <c r="G117" s="60">
        <v>0.4</v>
      </c>
      <c r="H117" s="61">
        <f t="shared" si="4"/>
        <v>0</v>
      </c>
      <c r="I117" s="61">
        <f t="shared" si="5"/>
        <v>0</v>
      </c>
    </row>
    <row r="118" spans="1:12" x14ac:dyDescent="0.25">
      <c r="A118" s="7">
        <v>8</v>
      </c>
      <c r="B118" s="4" t="s">
        <v>74</v>
      </c>
      <c r="C118" s="58" t="s">
        <v>71</v>
      </c>
      <c r="D118" s="59">
        <v>1</v>
      </c>
      <c r="E118" s="59" t="s">
        <v>2</v>
      </c>
      <c r="F118" s="59">
        <v>6790</v>
      </c>
      <c r="G118" s="60">
        <v>0.35</v>
      </c>
      <c r="H118" s="61">
        <f t="shared" si="4"/>
        <v>4413.5</v>
      </c>
      <c r="I118" s="61">
        <f t="shared" si="5"/>
        <v>4413.5</v>
      </c>
    </row>
    <row r="119" spans="1:12" x14ac:dyDescent="0.25">
      <c r="A119" s="7"/>
      <c r="B119" s="4"/>
      <c r="C119" s="58"/>
      <c r="D119" s="59"/>
      <c r="E119" s="59"/>
      <c r="F119" s="59"/>
      <c r="G119" s="60"/>
      <c r="H119" s="61"/>
      <c r="I119" s="61"/>
    </row>
    <row r="120" spans="1:12" x14ac:dyDescent="0.25">
      <c r="A120" s="7">
        <v>1</v>
      </c>
      <c r="B120" s="35" t="s">
        <v>44</v>
      </c>
      <c r="C120" s="39" t="s">
        <v>71</v>
      </c>
      <c r="D120" s="63">
        <v>1</v>
      </c>
      <c r="E120" s="59" t="s">
        <v>2</v>
      </c>
      <c r="F120" s="62">
        <v>73300</v>
      </c>
      <c r="G120" s="22">
        <v>0.62</v>
      </c>
      <c r="H120" s="61">
        <f t="shared" si="4"/>
        <v>27854</v>
      </c>
      <c r="I120" s="61">
        <f t="shared" si="5"/>
        <v>27854</v>
      </c>
    </row>
    <row r="121" spans="1:12" x14ac:dyDescent="0.25">
      <c r="A121" s="7">
        <v>2</v>
      </c>
      <c r="B121" s="4" t="s">
        <v>84</v>
      </c>
      <c r="C121" s="58" t="s">
        <v>64</v>
      </c>
      <c r="D121" s="59">
        <v>3</v>
      </c>
      <c r="E121" s="59" t="s">
        <v>2</v>
      </c>
      <c r="F121" s="59">
        <v>600</v>
      </c>
      <c r="G121" s="60">
        <v>0</v>
      </c>
      <c r="H121" s="61">
        <f t="shared" si="4"/>
        <v>600</v>
      </c>
      <c r="I121" s="61">
        <f t="shared" si="5"/>
        <v>1800</v>
      </c>
      <c r="L121">
        <v>1800</v>
      </c>
    </row>
    <row r="122" spans="1:12" x14ac:dyDescent="0.25">
      <c r="A122" s="7">
        <v>3</v>
      </c>
      <c r="B122" s="4" t="s">
        <v>27</v>
      </c>
      <c r="C122" s="58" t="s">
        <v>71</v>
      </c>
      <c r="D122" s="59">
        <v>4</v>
      </c>
      <c r="E122" s="59" t="s">
        <v>2</v>
      </c>
      <c r="F122" s="59">
        <v>318</v>
      </c>
      <c r="G122" s="22">
        <v>0.6</v>
      </c>
      <c r="H122" s="61">
        <f t="shared" si="4"/>
        <v>127.2</v>
      </c>
      <c r="I122" s="61">
        <f t="shared" si="5"/>
        <v>508.8</v>
      </c>
    </row>
    <row r="123" spans="1:12" x14ac:dyDescent="0.25">
      <c r="A123" s="7">
        <v>4</v>
      </c>
      <c r="B123" s="4" t="s">
        <v>11</v>
      </c>
      <c r="C123" s="58" t="s">
        <v>86</v>
      </c>
      <c r="D123" s="59">
        <v>1</v>
      </c>
      <c r="E123" s="59" t="s">
        <v>4</v>
      </c>
      <c r="F123" s="59">
        <v>210</v>
      </c>
      <c r="G123" s="60">
        <v>0</v>
      </c>
      <c r="H123" s="61">
        <f t="shared" si="4"/>
        <v>210</v>
      </c>
      <c r="I123" s="61">
        <f t="shared" si="5"/>
        <v>210</v>
      </c>
    </row>
    <row r="124" spans="1:12" x14ac:dyDescent="0.25">
      <c r="A124" s="7">
        <v>5</v>
      </c>
      <c r="B124" s="36" t="s">
        <v>100</v>
      </c>
      <c r="C124" s="58" t="s">
        <v>71</v>
      </c>
      <c r="D124" s="59">
        <v>1</v>
      </c>
      <c r="E124" s="59" t="s">
        <v>2</v>
      </c>
      <c r="F124" s="62">
        <v>4760</v>
      </c>
      <c r="G124" s="22">
        <v>0.6</v>
      </c>
      <c r="H124" s="61">
        <f t="shared" si="4"/>
        <v>1904</v>
      </c>
      <c r="I124" s="61">
        <f t="shared" si="5"/>
        <v>1904</v>
      </c>
    </row>
    <row r="125" spans="1:12" x14ac:dyDescent="0.25">
      <c r="A125" s="7">
        <v>6</v>
      </c>
      <c r="B125" s="36" t="s">
        <v>101</v>
      </c>
      <c r="C125" s="58" t="s">
        <v>71</v>
      </c>
      <c r="D125" s="59">
        <v>1</v>
      </c>
      <c r="E125" s="59" t="s">
        <v>2</v>
      </c>
      <c r="F125" s="62">
        <v>13300</v>
      </c>
      <c r="G125" s="60">
        <v>0.55000000000000004</v>
      </c>
      <c r="H125" s="61">
        <f t="shared" si="4"/>
        <v>5984.9999999999991</v>
      </c>
      <c r="I125" s="61">
        <f t="shared" si="5"/>
        <v>5984.9999999999991</v>
      </c>
    </row>
    <row r="126" spans="1:12" x14ac:dyDescent="0.25">
      <c r="A126" s="7">
        <v>7</v>
      </c>
      <c r="B126" s="4" t="s">
        <v>6</v>
      </c>
      <c r="C126" s="58" t="s">
        <v>71</v>
      </c>
      <c r="D126" s="59">
        <v>1</v>
      </c>
      <c r="E126" s="59" t="s">
        <v>2</v>
      </c>
      <c r="F126" s="62"/>
      <c r="G126" s="60">
        <v>0.4</v>
      </c>
      <c r="H126" s="61">
        <f t="shared" si="4"/>
        <v>0</v>
      </c>
      <c r="I126" s="61">
        <f t="shared" si="5"/>
        <v>0</v>
      </c>
    </row>
    <row r="127" spans="1:12" x14ac:dyDescent="0.25">
      <c r="A127" s="7">
        <v>8</v>
      </c>
      <c r="B127" s="4" t="s">
        <v>74</v>
      </c>
      <c r="C127" s="58" t="s">
        <v>71</v>
      </c>
      <c r="D127" s="59">
        <v>1</v>
      </c>
      <c r="E127" s="59" t="s">
        <v>2</v>
      </c>
      <c r="F127" s="59">
        <v>6790</v>
      </c>
      <c r="G127" s="60">
        <v>0.35</v>
      </c>
      <c r="H127" s="61">
        <f t="shared" si="4"/>
        <v>4413.5</v>
      </c>
      <c r="I127" s="61">
        <f t="shared" si="5"/>
        <v>4413.5</v>
      </c>
    </row>
    <row r="128" spans="1:12" x14ac:dyDescent="0.25">
      <c r="A128" s="7"/>
      <c r="B128" s="50"/>
      <c r="C128" s="64"/>
      <c r="D128" s="65"/>
      <c r="E128" s="65"/>
      <c r="F128" s="65"/>
      <c r="G128" s="66"/>
      <c r="H128" s="67"/>
      <c r="I128" s="67"/>
    </row>
    <row r="129" spans="1:12" x14ac:dyDescent="0.25">
      <c r="A129" s="7">
        <v>1</v>
      </c>
      <c r="B129" s="35" t="s">
        <v>40</v>
      </c>
      <c r="C129" s="39" t="s">
        <v>71</v>
      </c>
      <c r="D129" s="63">
        <v>1</v>
      </c>
      <c r="E129" s="59" t="s">
        <v>2</v>
      </c>
      <c r="F129" s="62">
        <v>51700</v>
      </c>
      <c r="G129" s="22">
        <v>0.62</v>
      </c>
      <c r="H129" s="61">
        <f t="shared" ref="H129:H157" si="6">F129*(1-G129)</f>
        <v>19646</v>
      </c>
      <c r="I129" s="61">
        <f t="shared" ref="I129:I145" si="7">D129*H129</f>
        <v>19646</v>
      </c>
    </row>
    <row r="130" spans="1:12" x14ac:dyDescent="0.25">
      <c r="A130" s="7">
        <v>2</v>
      </c>
      <c r="B130" s="4" t="s">
        <v>79</v>
      </c>
      <c r="C130" s="58" t="s">
        <v>64</v>
      </c>
      <c r="D130" s="59">
        <v>3</v>
      </c>
      <c r="E130" s="59" t="s">
        <v>2</v>
      </c>
      <c r="F130" s="59">
        <v>600</v>
      </c>
      <c r="G130" s="60">
        <v>0</v>
      </c>
      <c r="H130" s="61">
        <f t="shared" si="6"/>
        <v>600</v>
      </c>
      <c r="I130" s="61">
        <f t="shared" si="7"/>
        <v>1800</v>
      </c>
      <c r="L130">
        <v>1800</v>
      </c>
    </row>
    <row r="131" spans="1:12" x14ac:dyDescent="0.25">
      <c r="A131" s="7">
        <v>3</v>
      </c>
      <c r="B131" s="4" t="s">
        <v>27</v>
      </c>
      <c r="C131" s="58" t="s">
        <v>71</v>
      </c>
      <c r="D131" s="59">
        <v>4</v>
      </c>
      <c r="E131" s="59" t="s">
        <v>2</v>
      </c>
      <c r="F131" s="59">
        <v>318</v>
      </c>
      <c r="G131" s="22">
        <v>0.6</v>
      </c>
      <c r="H131" s="61">
        <f t="shared" si="6"/>
        <v>127.2</v>
      </c>
      <c r="I131" s="61">
        <f t="shared" si="7"/>
        <v>508.8</v>
      </c>
    </row>
    <row r="132" spans="1:12" x14ac:dyDescent="0.25">
      <c r="A132" s="7">
        <v>4</v>
      </c>
      <c r="B132" s="4" t="s">
        <v>11</v>
      </c>
      <c r="C132" s="58" t="s">
        <v>86</v>
      </c>
      <c r="D132" s="59">
        <v>1</v>
      </c>
      <c r="E132" s="59" t="s">
        <v>4</v>
      </c>
      <c r="F132" s="59">
        <v>210</v>
      </c>
      <c r="G132" s="60">
        <v>0</v>
      </c>
      <c r="H132" s="61">
        <f t="shared" si="6"/>
        <v>210</v>
      </c>
      <c r="I132" s="61">
        <f t="shared" si="7"/>
        <v>210</v>
      </c>
    </row>
    <row r="133" spans="1:12" x14ac:dyDescent="0.25">
      <c r="A133" s="7">
        <v>5</v>
      </c>
      <c r="B133" s="36" t="s">
        <v>98</v>
      </c>
      <c r="C133" s="58" t="s">
        <v>71</v>
      </c>
      <c r="D133" s="59">
        <v>1</v>
      </c>
      <c r="E133" s="59" t="s">
        <v>2</v>
      </c>
      <c r="F133" s="62">
        <v>4760</v>
      </c>
      <c r="G133" s="22">
        <v>0.6</v>
      </c>
      <c r="H133" s="61">
        <f t="shared" si="6"/>
        <v>1904</v>
      </c>
      <c r="I133" s="61">
        <f t="shared" si="7"/>
        <v>1904</v>
      </c>
    </row>
    <row r="134" spans="1:12" x14ac:dyDescent="0.25">
      <c r="A134" s="7">
        <v>6</v>
      </c>
      <c r="B134" s="36" t="s">
        <v>99</v>
      </c>
      <c r="C134" s="58" t="s">
        <v>71</v>
      </c>
      <c r="D134" s="59">
        <v>1</v>
      </c>
      <c r="E134" s="59" t="s">
        <v>2</v>
      </c>
      <c r="F134" s="62">
        <v>6410</v>
      </c>
      <c r="G134" s="60">
        <v>0.55000000000000004</v>
      </c>
      <c r="H134" s="61">
        <f t="shared" si="6"/>
        <v>2884.4999999999995</v>
      </c>
      <c r="I134" s="61">
        <f t="shared" si="7"/>
        <v>2884.4999999999995</v>
      </c>
    </row>
    <row r="135" spans="1:12" x14ac:dyDescent="0.25">
      <c r="A135" s="7">
        <v>7</v>
      </c>
      <c r="B135" s="4" t="s">
        <v>6</v>
      </c>
      <c r="C135" s="58" t="s">
        <v>71</v>
      </c>
      <c r="D135" s="59">
        <v>1</v>
      </c>
      <c r="E135" s="59" t="s">
        <v>2</v>
      </c>
      <c r="F135" s="62"/>
      <c r="G135" s="60">
        <v>0.4</v>
      </c>
      <c r="H135" s="61">
        <f t="shared" si="6"/>
        <v>0</v>
      </c>
      <c r="I135" s="61">
        <f t="shared" si="7"/>
        <v>0</v>
      </c>
    </row>
    <row r="136" spans="1:12" x14ac:dyDescent="0.25">
      <c r="A136" s="7">
        <v>8</v>
      </c>
      <c r="B136" s="4" t="s">
        <v>74</v>
      </c>
      <c r="C136" s="58" t="s">
        <v>71</v>
      </c>
      <c r="D136" s="59">
        <v>1</v>
      </c>
      <c r="E136" s="59" t="s">
        <v>2</v>
      </c>
      <c r="F136" s="59">
        <v>6790</v>
      </c>
      <c r="G136" s="60">
        <v>0.35</v>
      </c>
      <c r="H136" s="61">
        <f t="shared" si="6"/>
        <v>4413.5</v>
      </c>
      <c r="I136" s="61">
        <f t="shared" si="7"/>
        <v>4413.5</v>
      </c>
    </row>
    <row r="137" spans="1:12" x14ac:dyDescent="0.25">
      <c r="A137" s="7"/>
      <c r="B137" s="50"/>
      <c r="C137" s="64"/>
      <c r="D137" s="65"/>
      <c r="E137" s="65"/>
      <c r="F137" s="65"/>
      <c r="G137" s="66"/>
      <c r="H137" s="67"/>
      <c r="I137" s="67"/>
    </row>
    <row r="138" spans="1:12" x14ac:dyDescent="0.25">
      <c r="A138" s="7">
        <v>1</v>
      </c>
      <c r="B138" s="35" t="s">
        <v>45</v>
      </c>
      <c r="C138" s="39" t="s">
        <v>71</v>
      </c>
      <c r="D138" s="63">
        <v>1</v>
      </c>
      <c r="E138" s="59" t="s">
        <v>2</v>
      </c>
      <c r="F138" s="62">
        <v>37600</v>
      </c>
      <c r="G138" s="22">
        <v>0.62</v>
      </c>
      <c r="H138" s="61">
        <f t="shared" si="6"/>
        <v>14288</v>
      </c>
      <c r="I138" s="61">
        <f t="shared" si="7"/>
        <v>14288</v>
      </c>
    </row>
    <row r="139" spans="1:12" x14ac:dyDescent="0.25">
      <c r="A139" s="7">
        <v>2</v>
      </c>
      <c r="B139" s="4" t="s">
        <v>85</v>
      </c>
      <c r="C139" s="58" t="s">
        <v>64</v>
      </c>
      <c r="D139" s="59">
        <v>3</v>
      </c>
      <c r="E139" s="59" t="s">
        <v>2</v>
      </c>
      <c r="F139" s="59">
        <v>300</v>
      </c>
      <c r="G139" s="60">
        <v>0</v>
      </c>
      <c r="H139" s="61">
        <f t="shared" si="6"/>
        <v>300</v>
      </c>
      <c r="I139" s="61">
        <f t="shared" si="7"/>
        <v>900</v>
      </c>
      <c r="L139">
        <v>900</v>
      </c>
    </row>
    <row r="140" spans="1:12" x14ac:dyDescent="0.25">
      <c r="A140" s="7">
        <v>3</v>
      </c>
      <c r="B140" s="4" t="s">
        <v>27</v>
      </c>
      <c r="C140" s="58" t="s">
        <v>71</v>
      </c>
      <c r="D140" s="59">
        <v>4</v>
      </c>
      <c r="E140" s="59" t="s">
        <v>2</v>
      </c>
      <c r="F140" s="59">
        <v>318</v>
      </c>
      <c r="G140" s="22">
        <v>0.6</v>
      </c>
      <c r="H140" s="61">
        <f t="shared" si="6"/>
        <v>127.2</v>
      </c>
      <c r="I140" s="61">
        <f t="shared" si="7"/>
        <v>508.8</v>
      </c>
      <c r="L140">
        <f>SUM(L40:L139)</f>
        <v>18900</v>
      </c>
    </row>
    <row r="141" spans="1:12" x14ac:dyDescent="0.25">
      <c r="A141" s="7">
        <v>4</v>
      </c>
      <c r="B141" s="4" t="s">
        <v>11</v>
      </c>
      <c r="C141" s="58" t="s">
        <v>86</v>
      </c>
      <c r="D141" s="59">
        <v>1</v>
      </c>
      <c r="E141" s="59" t="s">
        <v>4</v>
      </c>
      <c r="F141" s="59">
        <v>210</v>
      </c>
      <c r="G141" s="60">
        <v>0</v>
      </c>
      <c r="H141" s="61">
        <f t="shared" si="6"/>
        <v>210</v>
      </c>
      <c r="I141" s="61">
        <f t="shared" si="7"/>
        <v>210</v>
      </c>
    </row>
    <row r="142" spans="1:12" x14ac:dyDescent="0.25">
      <c r="A142" s="7">
        <v>5</v>
      </c>
      <c r="B142" s="36" t="s">
        <v>96</v>
      </c>
      <c r="C142" s="58" t="s">
        <v>71</v>
      </c>
      <c r="D142" s="59">
        <v>1</v>
      </c>
      <c r="E142" s="59" t="s">
        <v>2</v>
      </c>
      <c r="F142" s="62">
        <v>2790</v>
      </c>
      <c r="G142" s="22">
        <v>0.6</v>
      </c>
      <c r="H142" s="61">
        <f t="shared" si="6"/>
        <v>1116</v>
      </c>
      <c r="I142" s="61">
        <f t="shared" si="7"/>
        <v>1116</v>
      </c>
    </row>
    <row r="143" spans="1:12" x14ac:dyDescent="0.25">
      <c r="A143" s="7">
        <v>6</v>
      </c>
      <c r="B143" s="36" t="s">
        <v>97</v>
      </c>
      <c r="C143" s="58" t="s">
        <v>71</v>
      </c>
      <c r="D143" s="59">
        <v>1</v>
      </c>
      <c r="E143" s="59" t="s">
        <v>2</v>
      </c>
      <c r="F143" s="62">
        <v>6310</v>
      </c>
      <c r="G143" s="60">
        <v>0.6</v>
      </c>
      <c r="H143" s="61">
        <f t="shared" si="6"/>
        <v>2524</v>
      </c>
      <c r="I143" s="61">
        <f t="shared" si="7"/>
        <v>2524</v>
      </c>
    </row>
    <row r="144" spans="1:12" x14ac:dyDescent="0.25">
      <c r="A144" s="7">
        <v>7</v>
      </c>
      <c r="B144" s="4" t="s">
        <v>6</v>
      </c>
      <c r="C144" s="58" t="s">
        <v>71</v>
      </c>
      <c r="D144" s="59">
        <v>1</v>
      </c>
      <c r="E144" s="59" t="s">
        <v>2</v>
      </c>
      <c r="F144" s="62"/>
      <c r="G144" s="60">
        <v>0.4</v>
      </c>
      <c r="H144" s="61">
        <f t="shared" si="6"/>
        <v>0</v>
      </c>
      <c r="I144" s="61">
        <f t="shared" si="7"/>
        <v>0</v>
      </c>
    </row>
    <row r="145" spans="1:13" x14ac:dyDescent="0.25">
      <c r="A145" s="7">
        <v>8</v>
      </c>
      <c r="B145" s="4" t="s">
        <v>74</v>
      </c>
      <c r="C145" s="58" t="s">
        <v>71</v>
      </c>
      <c r="D145" s="59">
        <v>1</v>
      </c>
      <c r="E145" s="59" t="s">
        <v>2</v>
      </c>
      <c r="F145" s="59">
        <v>6790</v>
      </c>
      <c r="G145" s="60">
        <v>0.35</v>
      </c>
      <c r="H145" s="61">
        <f t="shared" si="6"/>
        <v>4413.5</v>
      </c>
      <c r="I145" s="61">
        <f t="shared" si="7"/>
        <v>4413.5</v>
      </c>
    </row>
    <row r="146" spans="1:13" x14ac:dyDescent="0.25">
      <c r="A146" s="7"/>
      <c r="B146" s="50"/>
      <c r="C146" s="64"/>
      <c r="D146" s="65"/>
      <c r="E146" s="65"/>
      <c r="F146" s="65"/>
      <c r="G146" s="66"/>
      <c r="H146" s="67"/>
      <c r="I146" s="67"/>
    </row>
    <row r="147" spans="1:13" x14ac:dyDescent="0.25">
      <c r="A147" s="7">
        <v>1</v>
      </c>
      <c r="B147" s="4" t="s">
        <v>95</v>
      </c>
      <c r="C147" s="58" t="s">
        <v>71</v>
      </c>
      <c r="D147" s="59"/>
      <c r="E147" s="59" t="s">
        <v>2</v>
      </c>
      <c r="F147" s="62">
        <v>0</v>
      </c>
      <c r="G147" s="60">
        <v>0.6</v>
      </c>
      <c r="H147" s="61">
        <f t="shared" ref="H147:H150" si="8">F147*(1-G147)</f>
        <v>0</v>
      </c>
      <c r="I147" s="61">
        <f t="shared" ref="I147" si="9">D147*H147</f>
        <v>0</v>
      </c>
    </row>
    <row r="148" spans="1:13" x14ac:dyDescent="0.25">
      <c r="A148" s="7">
        <v>2</v>
      </c>
      <c r="B148" s="35" t="s">
        <v>45</v>
      </c>
      <c r="C148" s="39" t="s">
        <v>71</v>
      </c>
      <c r="D148" s="63"/>
      <c r="E148" s="59" t="s">
        <v>2</v>
      </c>
      <c r="F148" s="62">
        <v>37600</v>
      </c>
      <c r="G148" s="22">
        <v>0.62</v>
      </c>
      <c r="H148" s="61">
        <f t="shared" si="8"/>
        <v>14288</v>
      </c>
      <c r="I148" s="61">
        <f>D148*H148</f>
        <v>0</v>
      </c>
    </row>
    <row r="149" spans="1:13" x14ac:dyDescent="0.25">
      <c r="A149" s="7">
        <v>3</v>
      </c>
      <c r="B149" s="36" t="s">
        <v>96</v>
      </c>
      <c r="C149" s="58" t="s">
        <v>71</v>
      </c>
      <c r="D149" s="59"/>
      <c r="E149" s="59" t="s">
        <v>2</v>
      </c>
      <c r="F149" s="62">
        <v>2790</v>
      </c>
      <c r="G149" s="22">
        <v>0.6</v>
      </c>
      <c r="H149" s="61">
        <f t="shared" si="8"/>
        <v>1116</v>
      </c>
      <c r="I149" s="61">
        <f>D149*H149</f>
        <v>0</v>
      </c>
    </row>
    <row r="150" spans="1:13" x14ac:dyDescent="0.25">
      <c r="A150" s="7">
        <v>4</v>
      </c>
      <c r="B150" s="36" t="s">
        <v>97</v>
      </c>
      <c r="C150" s="58" t="s">
        <v>71</v>
      </c>
      <c r="D150" s="59"/>
      <c r="E150" s="59" t="s">
        <v>2</v>
      </c>
      <c r="F150" s="62">
        <v>6310</v>
      </c>
      <c r="G150" s="60">
        <v>0.6</v>
      </c>
      <c r="H150" s="61">
        <f t="shared" si="8"/>
        <v>2524</v>
      </c>
      <c r="I150" s="61">
        <f>D150*H150</f>
        <v>0</v>
      </c>
      <c r="K150" s="10" t="s">
        <v>88</v>
      </c>
      <c r="L150" s="57">
        <f>I148+I149+I150</f>
        <v>0</v>
      </c>
    </row>
    <row r="151" spans="1:13" x14ac:dyDescent="0.25">
      <c r="A151" s="7"/>
      <c r="B151" s="4"/>
      <c r="C151" s="58"/>
      <c r="D151" s="59"/>
      <c r="E151" s="59"/>
      <c r="F151" s="62"/>
      <c r="G151" s="60"/>
      <c r="H151" s="61"/>
      <c r="I151" s="61"/>
      <c r="L151">
        <f>L150/2</f>
        <v>0</v>
      </c>
    </row>
    <row r="152" spans="1:13" x14ac:dyDescent="0.25">
      <c r="A152" s="7"/>
      <c r="B152" s="4"/>
      <c r="C152" s="58"/>
      <c r="D152" s="59"/>
      <c r="E152" s="59"/>
      <c r="F152" s="62"/>
      <c r="G152" s="60"/>
      <c r="H152" s="61"/>
      <c r="I152" s="61"/>
    </row>
    <row r="153" spans="1:13" x14ac:dyDescent="0.25">
      <c r="A153" s="7">
        <v>1</v>
      </c>
      <c r="B153" s="4" t="s">
        <v>62</v>
      </c>
      <c r="C153" s="58" t="s">
        <v>70</v>
      </c>
      <c r="D153" s="59"/>
      <c r="E153" s="59"/>
      <c r="F153" s="59">
        <v>0</v>
      </c>
      <c r="G153" s="60">
        <v>0</v>
      </c>
      <c r="H153" s="61">
        <f t="shared" si="6"/>
        <v>0</v>
      </c>
      <c r="I153" s="61">
        <v>450000</v>
      </c>
      <c r="L153">
        <v>150000</v>
      </c>
    </row>
    <row r="154" spans="1:13" x14ac:dyDescent="0.25">
      <c r="A154" s="7">
        <v>2</v>
      </c>
      <c r="B154" s="3" t="s">
        <v>57</v>
      </c>
      <c r="C154" s="11"/>
      <c r="D154" s="7">
        <v>1</v>
      </c>
      <c r="E154" s="7"/>
      <c r="F154" s="7">
        <v>0</v>
      </c>
      <c r="G154" s="24">
        <v>0</v>
      </c>
      <c r="H154" s="25">
        <f t="shared" si="6"/>
        <v>0</v>
      </c>
      <c r="I154" s="25">
        <v>15000</v>
      </c>
    </row>
    <row r="155" spans="1:13" x14ac:dyDescent="0.25">
      <c r="A155" s="7">
        <v>3</v>
      </c>
      <c r="B155" s="3" t="s">
        <v>28</v>
      </c>
      <c r="C155" s="8" t="s">
        <v>69</v>
      </c>
      <c r="D155" s="7">
        <v>1</v>
      </c>
      <c r="E155" s="7"/>
      <c r="F155" s="7">
        <v>0</v>
      </c>
      <c r="G155" s="24">
        <v>0</v>
      </c>
      <c r="H155" s="25">
        <f t="shared" si="6"/>
        <v>0</v>
      </c>
      <c r="I155" s="25">
        <v>25000</v>
      </c>
      <c r="L155">
        <v>66000</v>
      </c>
      <c r="M155" t="s">
        <v>92</v>
      </c>
    </row>
    <row r="156" spans="1:13" x14ac:dyDescent="0.25">
      <c r="A156" s="7">
        <v>4</v>
      </c>
      <c r="B156" s="3" t="s">
        <v>3</v>
      </c>
      <c r="C156" s="8" t="s">
        <v>68</v>
      </c>
      <c r="D156" s="7">
        <v>1</v>
      </c>
      <c r="E156" s="7"/>
      <c r="F156" s="7">
        <v>0</v>
      </c>
      <c r="G156" s="24">
        <v>0</v>
      </c>
      <c r="H156" s="25">
        <f t="shared" si="6"/>
        <v>0</v>
      </c>
      <c r="I156" s="25">
        <v>140000</v>
      </c>
      <c r="L156">
        <v>42000</v>
      </c>
      <c r="M156" t="s">
        <v>93</v>
      </c>
    </row>
    <row r="157" spans="1:13" x14ac:dyDescent="0.25">
      <c r="A157" s="7">
        <v>5</v>
      </c>
      <c r="B157" s="3" t="s">
        <v>119</v>
      </c>
      <c r="C157" s="8"/>
      <c r="D157" s="7">
        <v>1</v>
      </c>
      <c r="E157" s="7"/>
      <c r="F157" s="7">
        <v>0</v>
      </c>
      <c r="G157" s="24">
        <v>0</v>
      </c>
      <c r="H157" s="25">
        <f t="shared" si="6"/>
        <v>0</v>
      </c>
      <c r="I157" s="25">
        <v>50000</v>
      </c>
      <c r="L157">
        <f>SUM(L155:L156)</f>
        <v>108000</v>
      </c>
    </row>
    <row r="158" spans="1:13" x14ac:dyDescent="0.25">
      <c r="A158" s="7"/>
      <c r="B158" s="3"/>
      <c r="C158" s="8"/>
      <c r="D158" s="7"/>
      <c r="E158" s="7"/>
      <c r="F158" s="7"/>
      <c r="G158" s="24"/>
      <c r="H158" s="25"/>
      <c r="I158" s="25">
        <v>0</v>
      </c>
    </row>
    <row r="159" spans="1:13" x14ac:dyDescent="0.25">
      <c r="A159" s="7"/>
      <c r="B159" s="9"/>
      <c r="C159" s="8"/>
      <c r="D159" s="7"/>
      <c r="E159" s="7"/>
      <c r="F159" s="7"/>
      <c r="G159" s="24"/>
      <c r="H159" s="7" t="s">
        <v>48</v>
      </c>
      <c r="I159" s="26">
        <f>SUM(I4:I158)</f>
        <v>1434796.9000000004</v>
      </c>
    </row>
    <row r="160" spans="1:13" x14ac:dyDescent="0.25">
      <c r="H160" s="10" t="s">
        <v>128</v>
      </c>
      <c r="I160" s="10">
        <f>I159*0.15</f>
        <v>215219.53500000006</v>
      </c>
    </row>
    <row r="161" spans="2:9" x14ac:dyDescent="0.25">
      <c r="I161" s="37">
        <f>I159+I160</f>
        <v>1650016.4350000005</v>
      </c>
    </row>
    <row r="164" spans="2:9" x14ac:dyDescent="0.25">
      <c r="B164" s="28" t="s">
        <v>120</v>
      </c>
    </row>
    <row r="165" spans="2:9" x14ac:dyDescent="0.25">
      <c r="B165" s="30" t="s">
        <v>121</v>
      </c>
    </row>
    <row r="166" spans="2:9" x14ac:dyDescent="0.25">
      <c r="B166" s="30" t="s">
        <v>123</v>
      </c>
    </row>
    <row r="167" spans="2:9" x14ac:dyDescent="0.25">
      <c r="B167" s="30" t="s">
        <v>122</v>
      </c>
    </row>
    <row r="168" spans="2:9" x14ac:dyDescent="0.25">
      <c r="B168" s="30" t="s">
        <v>127</v>
      </c>
    </row>
  </sheetData>
  <autoFilter ref="B1:B164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7"/>
  <sheetViews>
    <sheetView topLeftCell="A103" workbookViewId="0">
      <selection activeCell="I113" sqref="I113:I114"/>
    </sheetView>
  </sheetViews>
  <sheetFormatPr defaultRowHeight="15" x14ac:dyDescent="0.25"/>
  <cols>
    <col min="1" max="1" width="3.85546875" style="10" bestFit="1" customWidth="1"/>
    <col min="2" max="2" width="58" style="14" bestFit="1" customWidth="1"/>
    <col min="3" max="3" width="15.140625" style="21" bestFit="1" customWidth="1"/>
    <col min="4" max="4" width="6" style="10" bestFit="1" customWidth="1"/>
    <col min="5" max="5" width="5.42578125" style="10" bestFit="1" customWidth="1"/>
    <col min="6" max="6" width="11.5703125" style="10" customWidth="1"/>
    <col min="7" max="7" width="12.28515625" style="10" customWidth="1"/>
    <col min="8" max="8" width="11.5703125" style="10" customWidth="1"/>
    <col min="9" max="9" width="13.28515625" style="10" customWidth="1"/>
    <col min="10" max="10" width="5.42578125" bestFit="1" customWidth="1"/>
    <col min="11" max="11" width="9.140625" bestFit="1" customWidth="1"/>
    <col min="12" max="12" width="7.7109375" bestFit="1" customWidth="1"/>
    <col min="14" max="14" width="13.42578125" bestFit="1" customWidth="1"/>
  </cols>
  <sheetData>
    <row r="1" spans="1:13" x14ac:dyDescent="0.25">
      <c r="A1" s="7"/>
      <c r="B1" s="28" t="s">
        <v>7</v>
      </c>
      <c r="C1" s="8"/>
      <c r="D1" s="7"/>
      <c r="E1" s="7"/>
      <c r="F1" s="7"/>
      <c r="G1" s="7"/>
      <c r="H1" s="7"/>
      <c r="I1" s="7"/>
    </row>
    <row r="2" spans="1:13" x14ac:dyDescent="0.25">
      <c r="A2" s="6" t="s">
        <v>8</v>
      </c>
      <c r="B2" s="13" t="s">
        <v>0</v>
      </c>
      <c r="C2" s="20" t="s">
        <v>9</v>
      </c>
      <c r="D2" s="1" t="s">
        <v>20</v>
      </c>
      <c r="E2" s="6" t="s">
        <v>1</v>
      </c>
      <c r="F2" s="6" t="s">
        <v>10</v>
      </c>
      <c r="G2" s="34" t="s">
        <v>46</v>
      </c>
      <c r="H2" s="34" t="s">
        <v>47</v>
      </c>
      <c r="I2" s="1" t="s">
        <v>30</v>
      </c>
    </row>
    <row r="3" spans="1:13" x14ac:dyDescent="0.25">
      <c r="A3" s="6" t="s">
        <v>21</v>
      </c>
      <c r="B3" s="13" t="s">
        <v>29</v>
      </c>
      <c r="C3" s="20"/>
      <c r="D3" s="1"/>
      <c r="E3" s="6"/>
      <c r="F3" s="6"/>
      <c r="G3" s="6"/>
      <c r="H3" s="6"/>
      <c r="I3" s="7"/>
    </row>
    <row r="4" spans="1:13" x14ac:dyDescent="0.25">
      <c r="A4" s="7">
        <v>1</v>
      </c>
      <c r="B4" s="3" t="s">
        <v>19</v>
      </c>
      <c r="C4" s="16" t="s">
        <v>71</v>
      </c>
      <c r="D4" s="2">
        <v>1</v>
      </c>
      <c r="E4" s="2" t="s">
        <v>2</v>
      </c>
      <c r="F4" s="17">
        <v>467400</v>
      </c>
      <c r="G4" s="22">
        <v>0.71</v>
      </c>
      <c r="H4" s="23">
        <f>F4*(1-G4)</f>
        <v>135546.00000000003</v>
      </c>
      <c r="I4" s="23">
        <f>D4*H4</f>
        <v>135546.00000000003</v>
      </c>
      <c r="M4" s="80"/>
    </row>
    <row r="5" spans="1:13" x14ac:dyDescent="0.25">
      <c r="A5" s="7">
        <v>3</v>
      </c>
      <c r="B5" s="3" t="s">
        <v>27</v>
      </c>
      <c r="C5" s="16" t="s">
        <v>71</v>
      </c>
      <c r="D5" s="2">
        <v>4</v>
      </c>
      <c r="E5" s="2" t="s">
        <v>2</v>
      </c>
      <c r="F5" s="2">
        <v>318</v>
      </c>
      <c r="G5" s="22">
        <v>0.68</v>
      </c>
      <c r="H5" s="23">
        <f>F5*(1-G5)</f>
        <v>101.75999999999999</v>
      </c>
      <c r="I5" s="23">
        <f t="shared" ref="I5:I41" si="0">D5*H5</f>
        <v>407.03999999999996</v>
      </c>
    </row>
    <row r="6" spans="1:13" x14ac:dyDescent="0.25">
      <c r="A6" s="7">
        <v>6</v>
      </c>
      <c r="B6" s="4" t="s">
        <v>76</v>
      </c>
      <c r="C6" s="58" t="s">
        <v>71</v>
      </c>
      <c r="D6" s="59">
        <v>1</v>
      </c>
      <c r="E6" s="59" t="s">
        <v>2</v>
      </c>
      <c r="F6" s="59">
        <v>7665</v>
      </c>
      <c r="G6" s="60">
        <v>0.4</v>
      </c>
      <c r="H6" s="61">
        <f t="shared" ref="H6:H41" si="1">F6*(1-G6)</f>
        <v>4599</v>
      </c>
      <c r="I6" s="61">
        <f t="shared" si="0"/>
        <v>4599</v>
      </c>
      <c r="M6" s="80"/>
    </row>
    <row r="7" spans="1:13" x14ac:dyDescent="0.25">
      <c r="A7" s="7">
        <v>8</v>
      </c>
      <c r="B7" s="51" t="s">
        <v>55</v>
      </c>
      <c r="C7" s="16" t="s">
        <v>71</v>
      </c>
      <c r="D7" s="2">
        <v>1</v>
      </c>
      <c r="E7" s="2" t="s">
        <v>2</v>
      </c>
      <c r="F7" s="2">
        <v>1080</v>
      </c>
      <c r="G7" s="22">
        <v>0.68</v>
      </c>
      <c r="H7" s="23">
        <f t="shared" si="1"/>
        <v>345.59999999999997</v>
      </c>
      <c r="I7" s="23">
        <f t="shared" si="0"/>
        <v>345.59999999999997</v>
      </c>
    </row>
    <row r="8" spans="1:13" x14ac:dyDescent="0.25">
      <c r="A8" s="7">
        <v>15</v>
      </c>
      <c r="B8" s="31" t="s">
        <v>36</v>
      </c>
      <c r="C8" s="16" t="s">
        <v>71</v>
      </c>
      <c r="D8" s="2">
        <v>1</v>
      </c>
      <c r="E8" s="2" t="s">
        <v>2</v>
      </c>
      <c r="F8" s="2">
        <v>1800</v>
      </c>
      <c r="G8" s="22">
        <v>0</v>
      </c>
      <c r="H8" s="23">
        <f t="shared" si="1"/>
        <v>1800</v>
      </c>
      <c r="I8" s="23">
        <f t="shared" si="0"/>
        <v>1800</v>
      </c>
    </row>
    <row r="9" spans="1:13" x14ac:dyDescent="0.25">
      <c r="A9" s="7">
        <v>16</v>
      </c>
      <c r="B9" s="31" t="s">
        <v>35</v>
      </c>
      <c r="C9" s="16" t="s">
        <v>71</v>
      </c>
      <c r="D9" s="2">
        <v>1</v>
      </c>
      <c r="E9" s="2" t="s">
        <v>2</v>
      </c>
      <c r="F9" s="2">
        <v>315</v>
      </c>
      <c r="G9" s="22">
        <v>0.35</v>
      </c>
      <c r="H9" s="23">
        <f t="shared" si="1"/>
        <v>204.75</v>
      </c>
      <c r="I9" s="23">
        <f t="shared" si="0"/>
        <v>204.75</v>
      </c>
    </row>
    <row r="10" spans="1:13" s="52" customFormat="1" x14ac:dyDescent="0.25">
      <c r="A10" s="7">
        <v>19</v>
      </c>
      <c r="B10" s="35" t="s">
        <v>61</v>
      </c>
      <c r="C10" s="39" t="s">
        <v>71</v>
      </c>
      <c r="D10" s="2">
        <v>1</v>
      </c>
      <c r="E10" s="2" t="s">
        <v>2</v>
      </c>
      <c r="F10" s="2">
        <v>2600</v>
      </c>
      <c r="G10" s="22">
        <v>0</v>
      </c>
      <c r="H10" s="23">
        <f t="shared" si="1"/>
        <v>2600</v>
      </c>
      <c r="I10" s="23">
        <f t="shared" si="0"/>
        <v>2600</v>
      </c>
    </row>
    <row r="11" spans="1:13" x14ac:dyDescent="0.25">
      <c r="A11" s="7"/>
      <c r="B11" s="3"/>
      <c r="C11" s="16"/>
      <c r="D11" s="2"/>
      <c r="E11" s="2"/>
      <c r="F11" s="2"/>
      <c r="G11" s="22"/>
      <c r="H11" s="23"/>
      <c r="I11" s="23"/>
    </row>
    <row r="12" spans="1:13" x14ac:dyDescent="0.25">
      <c r="A12" s="6" t="s">
        <v>24</v>
      </c>
      <c r="B12" s="53" t="s">
        <v>53</v>
      </c>
      <c r="C12" s="54"/>
      <c r="D12" s="55"/>
      <c r="E12" s="56"/>
      <c r="F12" s="56"/>
      <c r="G12" s="22"/>
      <c r="H12" s="23"/>
      <c r="I12" s="23"/>
    </row>
    <row r="13" spans="1:13" x14ac:dyDescent="0.25">
      <c r="A13" s="7">
        <v>1</v>
      </c>
      <c r="B13" s="3" t="s">
        <v>25</v>
      </c>
      <c r="C13" s="16" t="s">
        <v>71</v>
      </c>
      <c r="D13" s="2">
        <v>1</v>
      </c>
      <c r="E13" s="2" t="s">
        <v>2</v>
      </c>
      <c r="F13" s="17">
        <v>393100</v>
      </c>
      <c r="G13" s="22">
        <v>0.71</v>
      </c>
      <c r="H13" s="23">
        <f t="shared" si="1"/>
        <v>113999.00000000001</v>
      </c>
      <c r="I13" s="23">
        <f t="shared" si="0"/>
        <v>113999.00000000001</v>
      </c>
    </row>
    <row r="14" spans="1:13" x14ac:dyDescent="0.25">
      <c r="A14" s="7">
        <v>3</v>
      </c>
      <c r="B14" s="3" t="s">
        <v>27</v>
      </c>
      <c r="C14" s="16" t="s">
        <v>71</v>
      </c>
      <c r="D14" s="2">
        <v>4</v>
      </c>
      <c r="E14" s="2" t="s">
        <v>2</v>
      </c>
      <c r="F14" s="2">
        <v>318</v>
      </c>
      <c r="G14" s="22">
        <v>0.68</v>
      </c>
      <c r="H14" s="23">
        <f t="shared" si="1"/>
        <v>101.75999999999999</v>
      </c>
      <c r="I14" s="23">
        <f t="shared" si="0"/>
        <v>407.03999999999996</v>
      </c>
    </row>
    <row r="15" spans="1:13" x14ac:dyDescent="0.25">
      <c r="A15" s="7">
        <v>6</v>
      </c>
      <c r="B15" s="4" t="s">
        <v>75</v>
      </c>
      <c r="C15" s="58" t="s">
        <v>71</v>
      </c>
      <c r="D15" s="59">
        <v>1</v>
      </c>
      <c r="E15" s="59" t="s">
        <v>2</v>
      </c>
      <c r="F15" s="2">
        <v>7665</v>
      </c>
      <c r="G15" s="22">
        <v>0.35</v>
      </c>
      <c r="H15" s="23">
        <f t="shared" si="1"/>
        <v>4982.25</v>
      </c>
      <c r="I15" s="23">
        <f t="shared" si="0"/>
        <v>4982.25</v>
      </c>
    </row>
    <row r="16" spans="1:13" x14ac:dyDescent="0.25">
      <c r="A16" s="7">
        <v>8</v>
      </c>
      <c r="B16" s="51" t="s">
        <v>55</v>
      </c>
      <c r="C16" s="16" t="s">
        <v>71</v>
      </c>
      <c r="D16" s="2">
        <v>1</v>
      </c>
      <c r="E16" s="2" t="s">
        <v>2</v>
      </c>
      <c r="F16" s="2">
        <v>1080</v>
      </c>
      <c r="G16" s="22">
        <v>0.68</v>
      </c>
      <c r="H16" s="23">
        <f t="shared" si="1"/>
        <v>345.59999999999997</v>
      </c>
      <c r="I16" s="23">
        <f t="shared" si="0"/>
        <v>345.59999999999997</v>
      </c>
    </row>
    <row r="17" spans="1:9" x14ac:dyDescent="0.25">
      <c r="A17" s="7">
        <v>14</v>
      </c>
      <c r="B17" s="31" t="s">
        <v>36</v>
      </c>
      <c r="C17" s="16" t="s">
        <v>71</v>
      </c>
      <c r="D17" s="2">
        <v>1</v>
      </c>
      <c r="E17" s="2" t="s">
        <v>2</v>
      </c>
      <c r="F17" s="2">
        <v>1800</v>
      </c>
      <c r="G17" s="22">
        <v>0</v>
      </c>
      <c r="H17" s="23">
        <f t="shared" si="1"/>
        <v>1800</v>
      </c>
      <c r="I17" s="23">
        <f t="shared" si="0"/>
        <v>1800</v>
      </c>
    </row>
    <row r="18" spans="1:9" x14ac:dyDescent="0.25">
      <c r="A18" s="7">
        <v>15</v>
      </c>
      <c r="B18" s="31" t="s">
        <v>35</v>
      </c>
      <c r="C18" s="16" t="s">
        <v>71</v>
      </c>
      <c r="D18" s="2">
        <v>1</v>
      </c>
      <c r="E18" s="2" t="s">
        <v>2</v>
      </c>
      <c r="F18" s="2">
        <v>315</v>
      </c>
      <c r="G18" s="22">
        <v>0.35</v>
      </c>
      <c r="H18" s="23">
        <f t="shared" si="1"/>
        <v>204.75</v>
      </c>
      <c r="I18" s="23">
        <f t="shared" si="0"/>
        <v>204.75</v>
      </c>
    </row>
    <row r="19" spans="1:9" x14ac:dyDescent="0.25">
      <c r="A19" s="7">
        <v>18</v>
      </c>
      <c r="B19" s="35" t="s">
        <v>61</v>
      </c>
      <c r="C19" s="39" t="s">
        <v>71</v>
      </c>
      <c r="D19" s="2">
        <v>1</v>
      </c>
      <c r="E19" s="2" t="s">
        <v>2</v>
      </c>
      <c r="F19" s="2">
        <v>2600</v>
      </c>
      <c r="G19" s="22">
        <v>0</v>
      </c>
      <c r="H19" s="23">
        <f t="shared" si="1"/>
        <v>2600</v>
      </c>
      <c r="I19" s="23">
        <f t="shared" si="0"/>
        <v>2600</v>
      </c>
    </row>
    <row r="20" spans="1:9" x14ac:dyDescent="0.25">
      <c r="A20" s="7"/>
      <c r="B20" s="12"/>
      <c r="C20" s="11"/>
      <c r="D20" s="47"/>
      <c r="E20" s="47"/>
      <c r="F20" s="47"/>
      <c r="G20" s="48"/>
      <c r="H20" s="49"/>
      <c r="I20" s="49"/>
    </row>
    <row r="21" spans="1:9" x14ac:dyDescent="0.25">
      <c r="A21" s="7"/>
      <c r="B21" s="40" t="s">
        <v>17</v>
      </c>
      <c r="C21" s="11"/>
      <c r="D21" s="47"/>
      <c r="E21" s="47"/>
      <c r="F21" s="47"/>
      <c r="G21" s="48"/>
      <c r="H21" s="49"/>
      <c r="I21" s="49"/>
    </row>
    <row r="22" spans="1:9" x14ac:dyDescent="0.25">
      <c r="A22" s="7">
        <v>1</v>
      </c>
      <c r="B22" s="31" t="s">
        <v>87</v>
      </c>
      <c r="C22" s="27" t="s">
        <v>71</v>
      </c>
      <c r="D22" s="18">
        <v>1</v>
      </c>
      <c r="E22" s="2" t="s">
        <v>2</v>
      </c>
      <c r="F22" s="19">
        <v>73300</v>
      </c>
      <c r="G22" s="22">
        <v>0.55000000000000004</v>
      </c>
      <c r="H22" s="23">
        <f t="shared" si="1"/>
        <v>32985</v>
      </c>
      <c r="I22" s="23">
        <f t="shared" si="0"/>
        <v>32985</v>
      </c>
    </row>
    <row r="23" spans="1:9" x14ac:dyDescent="0.25">
      <c r="A23" s="7">
        <v>3</v>
      </c>
      <c r="B23" s="3" t="s">
        <v>27</v>
      </c>
      <c r="C23" s="16" t="s">
        <v>71</v>
      </c>
      <c r="D23" s="2">
        <v>4</v>
      </c>
      <c r="E23" s="2" t="s">
        <v>2</v>
      </c>
      <c r="F23" s="2">
        <v>318</v>
      </c>
      <c r="G23" s="22">
        <v>0.68</v>
      </c>
      <c r="H23" s="23">
        <f t="shared" si="1"/>
        <v>101.75999999999999</v>
      </c>
      <c r="I23" s="23">
        <f t="shared" si="0"/>
        <v>407.03999999999996</v>
      </c>
    </row>
    <row r="24" spans="1:9" x14ac:dyDescent="0.25">
      <c r="A24" s="7">
        <v>5</v>
      </c>
      <c r="B24" s="36" t="s">
        <v>102</v>
      </c>
      <c r="C24" s="16" t="s">
        <v>71</v>
      </c>
      <c r="D24" s="2">
        <v>1</v>
      </c>
      <c r="E24" s="2" t="s">
        <v>2</v>
      </c>
      <c r="F24" s="19">
        <v>4760</v>
      </c>
      <c r="G24" s="22">
        <v>0.55000000000000004</v>
      </c>
      <c r="H24" s="23">
        <f t="shared" si="1"/>
        <v>2142</v>
      </c>
      <c r="I24" s="23">
        <f t="shared" si="0"/>
        <v>2142</v>
      </c>
    </row>
    <row r="25" spans="1:9" x14ac:dyDescent="0.25">
      <c r="A25" s="7">
        <v>6</v>
      </c>
      <c r="B25" s="36" t="s">
        <v>101</v>
      </c>
      <c r="C25" s="16" t="s">
        <v>71</v>
      </c>
      <c r="D25" s="2">
        <v>1</v>
      </c>
      <c r="E25" s="2" t="s">
        <v>2</v>
      </c>
      <c r="F25" s="19">
        <v>13300</v>
      </c>
      <c r="G25" s="22">
        <v>0.55000000000000004</v>
      </c>
      <c r="H25" s="23">
        <f t="shared" si="1"/>
        <v>5984.9999999999991</v>
      </c>
      <c r="I25" s="23">
        <f t="shared" si="0"/>
        <v>5984.9999999999991</v>
      </c>
    </row>
    <row r="26" spans="1:9" x14ac:dyDescent="0.25">
      <c r="A26" s="7">
        <v>7</v>
      </c>
      <c r="B26" s="3" t="s">
        <v>6</v>
      </c>
      <c r="C26" s="16" t="s">
        <v>71</v>
      </c>
      <c r="D26" s="2">
        <v>1</v>
      </c>
      <c r="E26" s="2" t="s">
        <v>2</v>
      </c>
      <c r="F26" s="19">
        <v>1200</v>
      </c>
      <c r="G26" s="22">
        <v>0.4</v>
      </c>
      <c r="H26" s="23">
        <f t="shared" si="1"/>
        <v>720</v>
      </c>
      <c r="I26" s="23">
        <f t="shared" si="0"/>
        <v>720</v>
      </c>
    </row>
    <row r="27" spans="1:9" x14ac:dyDescent="0.25">
      <c r="A27" s="7">
        <v>8</v>
      </c>
      <c r="B27" s="4" t="s">
        <v>74</v>
      </c>
      <c r="C27" s="58" t="s">
        <v>71</v>
      </c>
      <c r="D27" s="59">
        <v>1</v>
      </c>
      <c r="E27" s="59" t="s">
        <v>2</v>
      </c>
      <c r="F27" s="59">
        <v>6790</v>
      </c>
      <c r="G27" s="60">
        <v>0.4</v>
      </c>
      <c r="H27" s="61">
        <f t="shared" si="1"/>
        <v>4074</v>
      </c>
      <c r="I27" s="61">
        <f t="shared" si="0"/>
        <v>4074</v>
      </c>
    </row>
    <row r="28" spans="1:9" x14ac:dyDescent="0.25">
      <c r="A28" s="7"/>
      <c r="B28" s="33"/>
      <c r="C28" s="16"/>
      <c r="D28" s="2"/>
      <c r="E28" s="2"/>
      <c r="F28" s="19"/>
      <c r="G28" s="22"/>
      <c r="H28" s="23"/>
      <c r="I28" s="23"/>
    </row>
    <row r="29" spans="1:9" x14ac:dyDescent="0.25">
      <c r="A29" s="7">
        <v>1</v>
      </c>
      <c r="B29" s="31" t="s">
        <v>117</v>
      </c>
      <c r="C29" s="27" t="s">
        <v>71</v>
      </c>
      <c r="D29" s="18">
        <v>1</v>
      </c>
      <c r="E29" s="17" t="s">
        <v>2</v>
      </c>
      <c r="F29" s="19">
        <v>51700</v>
      </c>
      <c r="G29" s="22">
        <v>0.55000000000000004</v>
      </c>
      <c r="H29" s="23">
        <f t="shared" si="1"/>
        <v>23264.999999999996</v>
      </c>
      <c r="I29" s="23">
        <f t="shared" si="0"/>
        <v>23264.999999999996</v>
      </c>
    </row>
    <row r="30" spans="1:9" x14ac:dyDescent="0.25">
      <c r="A30" s="7">
        <v>3</v>
      </c>
      <c r="B30" s="3" t="s">
        <v>27</v>
      </c>
      <c r="C30" s="16" t="s">
        <v>71</v>
      </c>
      <c r="D30" s="2">
        <v>4</v>
      </c>
      <c r="E30" s="2" t="s">
        <v>2</v>
      </c>
      <c r="F30" s="2">
        <v>318</v>
      </c>
      <c r="G30" s="22">
        <v>0.68</v>
      </c>
      <c r="H30" s="23">
        <f t="shared" si="1"/>
        <v>101.75999999999999</v>
      </c>
      <c r="I30" s="23">
        <f t="shared" si="0"/>
        <v>407.03999999999996</v>
      </c>
    </row>
    <row r="31" spans="1:9" x14ac:dyDescent="0.25">
      <c r="A31" s="7">
        <v>5</v>
      </c>
      <c r="B31" s="36" t="s">
        <v>103</v>
      </c>
      <c r="C31" s="16" t="s">
        <v>71</v>
      </c>
      <c r="D31" s="2">
        <v>1</v>
      </c>
      <c r="E31" s="2" t="s">
        <v>2</v>
      </c>
      <c r="F31" s="19">
        <v>4680</v>
      </c>
      <c r="G31" s="22">
        <v>0.53</v>
      </c>
      <c r="H31" s="23">
        <f t="shared" si="1"/>
        <v>2199.6</v>
      </c>
      <c r="I31" s="23">
        <f t="shared" si="0"/>
        <v>2199.6</v>
      </c>
    </row>
    <row r="32" spans="1:9" x14ac:dyDescent="0.25">
      <c r="A32" s="7">
        <v>6</v>
      </c>
      <c r="B32" s="36" t="s">
        <v>104</v>
      </c>
      <c r="C32" s="16" t="s">
        <v>71</v>
      </c>
      <c r="D32" s="2">
        <v>1</v>
      </c>
      <c r="E32" s="2" t="s">
        <v>2</v>
      </c>
      <c r="F32" s="19">
        <v>6310</v>
      </c>
      <c r="G32" s="22">
        <v>0.53</v>
      </c>
      <c r="H32" s="23">
        <f t="shared" si="1"/>
        <v>2965.7</v>
      </c>
      <c r="I32" s="23">
        <f t="shared" si="0"/>
        <v>2965.7</v>
      </c>
    </row>
    <row r="33" spans="1:9" x14ac:dyDescent="0.25">
      <c r="A33" s="7">
        <v>7</v>
      </c>
      <c r="B33" s="3" t="s">
        <v>6</v>
      </c>
      <c r="C33" s="16" t="s">
        <v>71</v>
      </c>
      <c r="D33" s="2">
        <v>1</v>
      </c>
      <c r="E33" s="2" t="s">
        <v>2</v>
      </c>
      <c r="F33" s="19">
        <v>1200</v>
      </c>
      <c r="G33" s="22">
        <v>0.4</v>
      </c>
      <c r="H33" s="23">
        <f t="shared" si="1"/>
        <v>720</v>
      </c>
      <c r="I33" s="23">
        <f t="shared" si="0"/>
        <v>720</v>
      </c>
    </row>
    <row r="34" spans="1:9" x14ac:dyDescent="0.25">
      <c r="A34" s="7">
        <v>8</v>
      </c>
      <c r="B34" s="4" t="s">
        <v>74</v>
      </c>
      <c r="C34" s="58" t="s">
        <v>71</v>
      </c>
      <c r="D34" s="59">
        <v>1</v>
      </c>
      <c r="E34" s="59" t="s">
        <v>2</v>
      </c>
      <c r="F34" s="59">
        <v>6790</v>
      </c>
      <c r="G34" s="60">
        <v>0.4</v>
      </c>
      <c r="H34" s="61">
        <f t="shared" si="1"/>
        <v>4074</v>
      </c>
      <c r="I34" s="61">
        <f t="shared" si="0"/>
        <v>4074</v>
      </c>
    </row>
    <row r="35" spans="1:9" x14ac:dyDescent="0.25">
      <c r="A35" s="7"/>
      <c r="B35" s="3"/>
      <c r="C35" s="16"/>
      <c r="D35" s="2"/>
      <c r="E35" s="2"/>
      <c r="F35" s="2"/>
      <c r="G35" s="22"/>
      <c r="H35" s="23"/>
      <c r="I35" s="23"/>
    </row>
    <row r="36" spans="1:9" x14ac:dyDescent="0.25">
      <c r="A36" s="7">
        <v>1</v>
      </c>
      <c r="B36" s="31" t="s">
        <v>44</v>
      </c>
      <c r="C36" s="27" t="s">
        <v>71</v>
      </c>
      <c r="D36" s="18">
        <v>1</v>
      </c>
      <c r="E36" s="2" t="s">
        <v>2</v>
      </c>
      <c r="F36" s="19">
        <v>73300</v>
      </c>
      <c r="G36" s="22">
        <v>0.55000000000000004</v>
      </c>
      <c r="H36" s="23">
        <f t="shared" si="1"/>
        <v>32985</v>
      </c>
      <c r="I36" s="23">
        <f t="shared" si="0"/>
        <v>32985</v>
      </c>
    </row>
    <row r="37" spans="1:9" x14ac:dyDescent="0.25">
      <c r="A37" s="7">
        <v>3</v>
      </c>
      <c r="B37" s="3" t="s">
        <v>27</v>
      </c>
      <c r="C37" s="16" t="s">
        <v>71</v>
      </c>
      <c r="D37" s="2">
        <v>4</v>
      </c>
      <c r="E37" s="2" t="s">
        <v>2</v>
      </c>
      <c r="F37" s="2">
        <v>318</v>
      </c>
      <c r="G37" s="22">
        <v>0.68</v>
      </c>
      <c r="H37" s="23">
        <f t="shared" si="1"/>
        <v>101.75999999999999</v>
      </c>
      <c r="I37" s="23">
        <f t="shared" si="0"/>
        <v>407.03999999999996</v>
      </c>
    </row>
    <row r="38" spans="1:9" x14ac:dyDescent="0.25">
      <c r="A38" s="7">
        <v>5</v>
      </c>
      <c r="B38" s="36" t="s">
        <v>100</v>
      </c>
      <c r="C38" s="16" t="s">
        <v>71</v>
      </c>
      <c r="D38" s="2">
        <v>1</v>
      </c>
      <c r="E38" s="2" t="s">
        <v>2</v>
      </c>
      <c r="F38" s="19">
        <v>4760</v>
      </c>
      <c r="G38" s="22">
        <v>0.55000000000000004</v>
      </c>
      <c r="H38" s="23">
        <f t="shared" si="1"/>
        <v>2142</v>
      </c>
      <c r="I38" s="23">
        <f t="shared" si="0"/>
        <v>2142</v>
      </c>
    </row>
    <row r="39" spans="1:9" x14ac:dyDescent="0.25">
      <c r="A39" s="7">
        <v>6</v>
      </c>
      <c r="B39" s="36" t="s">
        <v>101</v>
      </c>
      <c r="C39" s="16" t="s">
        <v>71</v>
      </c>
      <c r="D39" s="2">
        <v>1</v>
      </c>
      <c r="E39" s="2" t="s">
        <v>2</v>
      </c>
      <c r="F39" s="19">
        <v>13300</v>
      </c>
      <c r="G39" s="22">
        <v>0.55000000000000004</v>
      </c>
      <c r="H39" s="23">
        <f t="shared" si="1"/>
        <v>5984.9999999999991</v>
      </c>
      <c r="I39" s="23">
        <f t="shared" si="0"/>
        <v>5984.9999999999991</v>
      </c>
    </row>
    <row r="40" spans="1:9" x14ac:dyDescent="0.25">
      <c r="A40" s="7">
        <v>7</v>
      </c>
      <c r="B40" s="3" t="s">
        <v>6</v>
      </c>
      <c r="C40" s="16" t="s">
        <v>71</v>
      </c>
      <c r="D40" s="2">
        <v>1</v>
      </c>
      <c r="E40" s="2" t="s">
        <v>2</v>
      </c>
      <c r="F40" s="19">
        <v>1200</v>
      </c>
      <c r="G40" s="22">
        <v>0.4</v>
      </c>
      <c r="H40" s="23">
        <f t="shared" si="1"/>
        <v>720</v>
      </c>
      <c r="I40" s="23">
        <f t="shared" si="0"/>
        <v>720</v>
      </c>
    </row>
    <row r="41" spans="1:9" x14ac:dyDescent="0.25">
      <c r="A41" s="7">
        <v>8</v>
      </c>
      <c r="B41" s="4" t="s">
        <v>74</v>
      </c>
      <c r="C41" s="58" t="s">
        <v>71</v>
      </c>
      <c r="D41" s="59">
        <v>1</v>
      </c>
      <c r="E41" s="59" t="s">
        <v>2</v>
      </c>
      <c r="F41" s="59">
        <v>6790</v>
      </c>
      <c r="G41" s="60">
        <v>0.4</v>
      </c>
      <c r="H41" s="61">
        <f t="shared" si="1"/>
        <v>4074</v>
      </c>
      <c r="I41" s="61">
        <f t="shared" si="0"/>
        <v>4074</v>
      </c>
    </row>
    <row r="42" spans="1:9" x14ac:dyDescent="0.25">
      <c r="A42" s="7"/>
      <c r="B42" s="31"/>
      <c r="C42" s="16"/>
      <c r="D42" s="2"/>
      <c r="E42" s="2"/>
      <c r="F42" s="19"/>
      <c r="G42" s="22"/>
      <c r="H42" s="23"/>
      <c r="I42" s="23"/>
    </row>
    <row r="43" spans="1:9" x14ac:dyDescent="0.25">
      <c r="A43" s="7">
        <v>1</v>
      </c>
      <c r="B43" s="31" t="s">
        <v>38</v>
      </c>
      <c r="C43" s="27" t="s">
        <v>71</v>
      </c>
      <c r="D43" s="18">
        <v>1</v>
      </c>
      <c r="E43" s="2" t="s">
        <v>2</v>
      </c>
      <c r="F43" s="19">
        <v>40900</v>
      </c>
      <c r="G43" s="22">
        <v>0.55000000000000004</v>
      </c>
      <c r="H43" s="23">
        <f t="shared" ref="H43:H90" si="2">F43*(1-G43)</f>
        <v>18405</v>
      </c>
      <c r="I43" s="23">
        <f t="shared" ref="I43:I90" si="3">D43*H43</f>
        <v>18405</v>
      </c>
    </row>
    <row r="44" spans="1:9" x14ac:dyDescent="0.25">
      <c r="A44" s="7">
        <v>3</v>
      </c>
      <c r="B44" s="4" t="s">
        <v>27</v>
      </c>
      <c r="C44" s="58" t="s">
        <v>71</v>
      </c>
      <c r="D44" s="59">
        <v>4</v>
      </c>
      <c r="E44" s="59" t="s">
        <v>2</v>
      </c>
      <c r="F44" s="59">
        <v>318</v>
      </c>
      <c r="G44" s="22">
        <v>0.68</v>
      </c>
      <c r="H44" s="61">
        <f t="shared" si="2"/>
        <v>101.75999999999999</v>
      </c>
      <c r="I44" s="61">
        <f t="shared" si="3"/>
        <v>407.03999999999996</v>
      </c>
    </row>
    <row r="45" spans="1:9" x14ac:dyDescent="0.25">
      <c r="A45" s="7">
        <v>5</v>
      </c>
      <c r="B45" s="36" t="s">
        <v>105</v>
      </c>
      <c r="C45" s="58" t="s">
        <v>71</v>
      </c>
      <c r="D45" s="59">
        <v>1</v>
      </c>
      <c r="E45" s="59" t="s">
        <v>2</v>
      </c>
      <c r="F45" s="62">
        <v>4760</v>
      </c>
      <c r="G45" s="60">
        <v>0.55000000000000004</v>
      </c>
      <c r="H45" s="61">
        <f t="shared" si="2"/>
        <v>2142</v>
      </c>
      <c r="I45" s="61">
        <f t="shared" si="3"/>
        <v>2142</v>
      </c>
    </row>
    <row r="46" spans="1:9" x14ac:dyDescent="0.25">
      <c r="A46" s="7">
        <v>6</v>
      </c>
      <c r="B46" s="36" t="s">
        <v>106</v>
      </c>
      <c r="C46" s="58" t="s">
        <v>71</v>
      </c>
      <c r="D46" s="59">
        <v>1</v>
      </c>
      <c r="E46" s="59" t="s">
        <v>2</v>
      </c>
      <c r="F46" s="62">
        <v>6310</v>
      </c>
      <c r="G46" s="60">
        <v>0.55000000000000004</v>
      </c>
      <c r="H46" s="61">
        <f t="shared" si="2"/>
        <v>2839.4999999999995</v>
      </c>
      <c r="I46" s="61">
        <f t="shared" si="3"/>
        <v>2839.4999999999995</v>
      </c>
    </row>
    <row r="47" spans="1:9" x14ac:dyDescent="0.25">
      <c r="A47" s="7">
        <v>7</v>
      </c>
      <c r="B47" s="4" t="s">
        <v>6</v>
      </c>
      <c r="C47" s="58" t="s">
        <v>71</v>
      </c>
      <c r="D47" s="59">
        <v>1</v>
      </c>
      <c r="E47" s="59" t="s">
        <v>2</v>
      </c>
      <c r="F47" s="62">
        <v>1200</v>
      </c>
      <c r="G47" s="60">
        <v>0.4</v>
      </c>
      <c r="H47" s="61">
        <f t="shared" si="2"/>
        <v>720</v>
      </c>
      <c r="I47" s="61">
        <f t="shared" si="3"/>
        <v>720</v>
      </c>
    </row>
    <row r="48" spans="1:9" x14ac:dyDescent="0.25">
      <c r="A48" s="7">
        <v>8</v>
      </c>
      <c r="B48" s="4" t="s">
        <v>74</v>
      </c>
      <c r="C48" s="58" t="s">
        <v>71</v>
      </c>
      <c r="D48" s="59">
        <v>1</v>
      </c>
      <c r="E48" s="59" t="s">
        <v>2</v>
      </c>
      <c r="F48" s="59">
        <v>6790</v>
      </c>
      <c r="G48" s="60">
        <v>0.4</v>
      </c>
      <c r="H48" s="61">
        <f t="shared" si="2"/>
        <v>4074</v>
      </c>
      <c r="I48" s="61">
        <f t="shared" si="3"/>
        <v>4074</v>
      </c>
    </row>
    <row r="49" spans="1:14" x14ac:dyDescent="0.25">
      <c r="A49" s="7"/>
      <c r="B49" s="35"/>
      <c r="C49" s="58"/>
      <c r="D49" s="59"/>
      <c r="E49" s="59"/>
      <c r="F49" s="62"/>
      <c r="G49" s="60"/>
      <c r="H49" s="61"/>
      <c r="I49" s="61"/>
    </row>
    <row r="50" spans="1:14" x14ac:dyDescent="0.25">
      <c r="A50" s="7">
        <v>1</v>
      </c>
      <c r="B50" s="35" t="s">
        <v>38</v>
      </c>
      <c r="C50" s="39" t="s">
        <v>71</v>
      </c>
      <c r="D50" s="63">
        <v>1</v>
      </c>
      <c r="E50" s="59" t="s">
        <v>2</v>
      </c>
      <c r="F50" s="62">
        <v>40900</v>
      </c>
      <c r="G50" s="60">
        <v>0.55000000000000004</v>
      </c>
      <c r="H50" s="61">
        <f t="shared" si="2"/>
        <v>18405</v>
      </c>
      <c r="I50" s="61">
        <f t="shared" si="3"/>
        <v>18405</v>
      </c>
    </row>
    <row r="51" spans="1:14" x14ac:dyDescent="0.25">
      <c r="A51" s="7">
        <v>3</v>
      </c>
      <c r="B51" s="4" t="s">
        <v>27</v>
      </c>
      <c r="C51" s="58" t="s">
        <v>71</v>
      </c>
      <c r="D51" s="59">
        <v>4</v>
      </c>
      <c r="E51" s="59" t="s">
        <v>2</v>
      </c>
      <c r="F51" s="59">
        <v>318</v>
      </c>
      <c r="G51" s="22">
        <v>0.68</v>
      </c>
      <c r="H51" s="61">
        <f t="shared" si="2"/>
        <v>101.75999999999999</v>
      </c>
      <c r="I51" s="61">
        <f t="shared" si="3"/>
        <v>407.03999999999996</v>
      </c>
    </row>
    <row r="52" spans="1:14" x14ac:dyDescent="0.25">
      <c r="A52" s="7">
        <v>5</v>
      </c>
      <c r="B52" s="36" t="s">
        <v>105</v>
      </c>
      <c r="C52" s="58" t="s">
        <v>71</v>
      </c>
      <c r="D52" s="59">
        <v>1</v>
      </c>
      <c r="E52" s="59" t="s">
        <v>2</v>
      </c>
      <c r="F52" s="62">
        <v>4760</v>
      </c>
      <c r="G52" s="60">
        <v>0.55000000000000004</v>
      </c>
      <c r="H52" s="61">
        <f t="shared" si="2"/>
        <v>2142</v>
      </c>
      <c r="I52" s="61">
        <f t="shared" si="3"/>
        <v>2142</v>
      </c>
    </row>
    <row r="53" spans="1:14" x14ac:dyDescent="0.25">
      <c r="A53" s="7">
        <v>6</v>
      </c>
      <c r="B53" s="36" t="s">
        <v>106</v>
      </c>
      <c r="C53" s="58" t="s">
        <v>71</v>
      </c>
      <c r="D53" s="59">
        <v>1</v>
      </c>
      <c r="E53" s="59" t="s">
        <v>2</v>
      </c>
      <c r="F53" s="62">
        <v>6310</v>
      </c>
      <c r="G53" s="60">
        <v>0.55000000000000004</v>
      </c>
      <c r="H53" s="61">
        <f t="shared" si="2"/>
        <v>2839.4999999999995</v>
      </c>
      <c r="I53" s="61">
        <f t="shared" si="3"/>
        <v>2839.4999999999995</v>
      </c>
    </row>
    <row r="54" spans="1:14" x14ac:dyDescent="0.25">
      <c r="A54" s="7">
        <v>7</v>
      </c>
      <c r="B54" s="4" t="s">
        <v>6</v>
      </c>
      <c r="C54" s="58" t="s">
        <v>71</v>
      </c>
      <c r="D54" s="59">
        <v>1</v>
      </c>
      <c r="E54" s="59" t="s">
        <v>2</v>
      </c>
      <c r="F54" s="62">
        <v>1200</v>
      </c>
      <c r="G54" s="60">
        <v>0.4</v>
      </c>
      <c r="H54" s="61">
        <f t="shared" si="2"/>
        <v>720</v>
      </c>
      <c r="I54" s="61">
        <f t="shared" si="3"/>
        <v>720</v>
      </c>
    </row>
    <row r="55" spans="1:14" x14ac:dyDescent="0.25">
      <c r="A55" s="7">
        <v>8</v>
      </c>
      <c r="B55" s="4" t="s">
        <v>74</v>
      </c>
      <c r="C55" s="58" t="s">
        <v>71</v>
      </c>
      <c r="D55" s="59">
        <v>1</v>
      </c>
      <c r="E55" s="59" t="s">
        <v>2</v>
      </c>
      <c r="F55" s="59">
        <v>6790</v>
      </c>
      <c r="G55" s="60">
        <v>0.4</v>
      </c>
      <c r="H55" s="61">
        <f t="shared" si="2"/>
        <v>4074</v>
      </c>
      <c r="I55" s="61">
        <f t="shared" si="3"/>
        <v>4074</v>
      </c>
    </row>
    <row r="56" spans="1:14" x14ac:dyDescent="0.25">
      <c r="A56" s="7"/>
      <c r="B56" s="4"/>
      <c r="C56" s="58"/>
      <c r="D56" s="59"/>
      <c r="E56" s="59"/>
      <c r="F56" s="59"/>
      <c r="G56" s="60"/>
      <c r="H56" s="61"/>
      <c r="I56" s="61"/>
    </row>
    <row r="57" spans="1:14" x14ac:dyDescent="0.25">
      <c r="A57" s="7">
        <v>1</v>
      </c>
      <c r="B57" s="35" t="s">
        <v>42</v>
      </c>
      <c r="C57" s="39" t="s">
        <v>71</v>
      </c>
      <c r="D57" s="63">
        <v>1</v>
      </c>
      <c r="E57" s="59" t="s">
        <v>2</v>
      </c>
      <c r="F57" s="62">
        <v>51700</v>
      </c>
      <c r="G57" s="60">
        <v>0.55000000000000004</v>
      </c>
      <c r="H57" s="61">
        <f t="shared" si="2"/>
        <v>23264.999999999996</v>
      </c>
      <c r="I57" s="61">
        <f t="shared" si="3"/>
        <v>23264.999999999996</v>
      </c>
    </row>
    <row r="58" spans="1:14" x14ac:dyDescent="0.25">
      <c r="A58" s="7">
        <v>3</v>
      </c>
      <c r="B58" s="4" t="s">
        <v>27</v>
      </c>
      <c r="C58" s="58" t="s">
        <v>71</v>
      </c>
      <c r="D58" s="59">
        <v>4</v>
      </c>
      <c r="E58" s="59" t="s">
        <v>2</v>
      </c>
      <c r="F58" s="59">
        <v>318</v>
      </c>
      <c r="G58" s="22">
        <v>0.68</v>
      </c>
      <c r="H58" s="61">
        <f t="shared" si="2"/>
        <v>101.75999999999999</v>
      </c>
      <c r="I58" s="61">
        <f t="shared" si="3"/>
        <v>407.03999999999996</v>
      </c>
    </row>
    <row r="59" spans="1:14" x14ac:dyDescent="0.25">
      <c r="A59" s="7">
        <v>5</v>
      </c>
      <c r="B59" s="36" t="s">
        <v>107</v>
      </c>
      <c r="C59" s="58" t="s">
        <v>71</v>
      </c>
      <c r="D59" s="59">
        <v>1</v>
      </c>
      <c r="E59" s="59" t="s">
        <v>2</v>
      </c>
      <c r="F59" s="62">
        <v>4760</v>
      </c>
      <c r="G59" s="60">
        <v>0.55000000000000004</v>
      </c>
      <c r="H59" s="61">
        <f t="shared" si="2"/>
        <v>2142</v>
      </c>
      <c r="I59" s="61">
        <f t="shared" si="3"/>
        <v>2142</v>
      </c>
      <c r="K59" s="81"/>
      <c r="L59" s="82"/>
      <c r="M59" s="83"/>
      <c r="N59" s="83"/>
    </row>
    <row r="60" spans="1:14" x14ac:dyDescent="0.25">
      <c r="A60" s="7">
        <v>6</v>
      </c>
      <c r="B60" s="36" t="s">
        <v>108</v>
      </c>
      <c r="C60" s="58" t="s">
        <v>71</v>
      </c>
      <c r="D60" s="59">
        <v>1</v>
      </c>
      <c r="E60" s="59" t="s">
        <v>2</v>
      </c>
      <c r="F60" s="62">
        <v>13300</v>
      </c>
      <c r="G60" s="60">
        <v>0.55000000000000004</v>
      </c>
      <c r="H60" s="61">
        <f t="shared" si="2"/>
        <v>5984.9999999999991</v>
      </c>
      <c r="I60" s="61">
        <f t="shared" si="3"/>
        <v>5984.9999999999991</v>
      </c>
    </row>
    <row r="61" spans="1:14" x14ac:dyDescent="0.25">
      <c r="A61" s="7">
        <v>7</v>
      </c>
      <c r="B61" s="4" t="s">
        <v>6</v>
      </c>
      <c r="C61" s="58" t="s">
        <v>71</v>
      </c>
      <c r="D61" s="59">
        <v>1</v>
      </c>
      <c r="E61" s="59" t="s">
        <v>2</v>
      </c>
      <c r="F61" s="62">
        <v>1200</v>
      </c>
      <c r="G61" s="60">
        <v>0.4</v>
      </c>
      <c r="H61" s="61">
        <f t="shared" si="2"/>
        <v>720</v>
      </c>
      <c r="I61" s="61">
        <f t="shared" si="3"/>
        <v>720</v>
      </c>
    </row>
    <row r="62" spans="1:14" x14ac:dyDescent="0.25">
      <c r="A62" s="7">
        <v>8</v>
      </c>
      <c r="B62" s="4" t="s">
        <v>74</v>
      </c>
      <c r="C62" s="58" t="s">
        <v>71</v>
      </c>
      <c r="D62" s="59">
        <v>1</v>
      </c>
      <c r="E62" s="59" t="s">
        <v>2</v>
      </c>
      <c r="F62" s="59">
        <v>6790</v>
      </c>
      <c r="G62" s="60">
        <v>0.4</v>
      </c>
      <c r="H62" s="61">
        <f t="shared" si="2"/>
        <v>4074</v>
      </c>
      <c r="I62" s="61">
        <f t="shared" si="3"/>
        <v>4074</v>
      </c>
    </row>
    <row r="63" spans="1:14" x14ac:dyDescent="0.25">
      <c r="A63" s="7"/>
      <c r="B63" s="4"/>
      <c r="C63" s="58"/>
      <c r="D63" s="59"/>
      <c r="E63" s="59"/>
      <c r="F63" s="59"/>
      <c r="G63" s="60"/>
      <c r="H63" s="61"/>
      <c r="I63" s="61"/>
    </row>
    <row r="64" spans="1:14" x14ac:dyDescent="0.25">
      <c r="A64" s="7">
        <v>1</v>
      </c>
      <c r="B64" s="35" t="s">
        <v>41</v>
      </c>
      <c r="C64" s="39" t="s">
        <v>71</v>
      </c>
      <c r="D64" s="63">
        <v>1</v>
      </c>
      <c r="E64" s="59" t="s">
        <v>2</v>
      </c>
      <c r="F64" s="62">
        <v>51700</v>
      </c>
      <c r="G64" s="60">
        <v>0.55000000000000004</v>
      </c>
      <c r="H64" s="61">
        <f t="shared" si="2"/>
        <v>23264.999999999996</v>
      </c>
      <c r="I64" s="61">
        <f t="shared" si="3"/>
        <v>23264.999999999996</v>
      </c>
    </row>
    <row r="65" spans="1:9" x14ac:dyDescent="0.25">
      <c r="A65" s="7">
        <v>3</v>
      </c>
      <c r="B65" s="4" t="s">
        <v>27</v>
      </c>
      <c r="C65" s="58" t="s">
        <v>71</v>
      </c>
      <c r="D65" s="59">
        <v>4</v>
      </c>
      <c r="E65" s="59" t="s">
        <v>2</v>
      </c>
      <c r="F65" s="59">
        <v>318</v>
      </c>
      <c r="G65" s="22">
        <v>0.68</v>
      </c>
      <c r="H65" s="61">
        <f t="shared" si="2"/>
        <v>101.75999999999999</v>
      </c>
      <c r="I65" s="61">
        <f t="shared" si="3"/>
        <v>407.03999999999996</v>
      </c>
    </row>
    <row r="66" spans="1:9" x14ac:dyDescent="0.25">
      <c r="A66" s="7">
        <v>5</v>
      </c>
      <c r="B66" s="36" t="s">
        <v>109</v>
      </c>
      <c r="C66" s="58" t="s">
        <v>71</v>
      </c>
      <c r="D66" s="59">
        <v>1</v>
      </c>
      <c r="E66" s="59" t="s">
        <v>2</v>
      </c>
      <c r="F66" s="62">
        <v>4760</v>
      </c>
      <c r="G66" s="60">
        <v>0.55000000000000004</v>
      </c>
      <c r="H66" s="61">
        <f t="shared" si="2"/>
        <v>2142</v>
      </c>
      <c r="I66" s="61">
        <f t="shared" si="3"/>
        <v>2142</v>
      </c>
    </row>
    <row r="67" spans="1:9" x14ac:dyDescent="0.25">
      <c r="A67" s="7">
        <v>6</v>
      </c>
      <c r="B67" s="36" t="s">
        <v>110</v>
      </c>
      <c r="C67" s="58" t="s">
        <v>71</v>
      </c>
      <c r="D67" s="59">
        <v>1</v>
      </c>
      <c r="E67" s="59" t="s">
        <v>2</v>
      </c>
      <c r="F67" s="62">
        <v>13300</v>
      </c>
      <c r="G67" s="60">
        <v>0.55000000000000004</v>
      </c>
      <c r="H67" s="61">
        <f t="shared" si="2"/>
        <v>5984.9999999999991</v>
      </c>
      <c r="I67" s="61">
        <f t="shared" si="3"/>
        <v>5984.9999999999991</v>
      </c>
    </row>
    <row r="68" spans="1:9" x14ac:dyDescent="0.25">
      <c r="A68" s="7">
        <v>7</v>
      </c>
      <c r="B68" s="4" t="s">
        <v>6</v>
      </c>
      <c r="C68" s="58" t="s">
        <v>71</v>
      </c>
      <c r="D68" s="59">
        <v>1</v>
      </c>
      <c r="E68" s="59" t="s">
        <v>2</v>
      </c>
      <c r="F68" s="62">
        <v>1200</v>
      </c>
      <c r="G68" s="60">
        <v>0.4</v>
      </c>
      <c r="H68" s="61">
        <f t="shared" si="2"/>
        <v>720</v>
      </c>
      <c r="I68" s="61">
        <f t="shared" si="3"/>
        <v>720</v>
      </c>
    </row>
    <row r="69" spans="1:9" x14ac:dyDescent="0.25">
      <c r="A69" s="7">
        <v>8</v>
      </c>
      <c r="B69" s="4" t="s">
        <v>74</v>
      </c>
      <c r="C69" s="58" t="s">
        <v>71</v>
      </c>
      <c r="D69" s="59">
        <v>1</v>
      </c>
      <c r="E69" s="59" t="s">
        <v>2</v>
      </c>
      <c r="F69" s="59">
        <v>6790</v>
      </c>
      <c r="G69" s="60">
        <v>0.4</v>
      </c>
      <c r="H69" s="61">
        <f t="shared" si="2"/>
        <v>4074</v>
      </c>
      <c r="I69" s="61">
        <f t="shared" si="3"/>
        <v>4074</v>
      </c>
    </row>
    <row r="70" spans="1:9" x14ac:dyDescent="0.25">
      <c r="A70" s="7"/>
      <c r="B70" s="50"/>
      <c r="C70" s="64"/>
      <c r="D70" s="65"/>
      <c r="E70" s="65"/>
      <c r="F70" s="65"/>
      <c r="G70" s="66"/>
      <c r="H70" s="67"/>
      <c r="I70" s="67"/>
    </row>
    <row r="71" spans="1:9" x14ac:dyDescent="0.25">
      <c r="A71" s="7">
        <v>1</v>
      </c>
      <c r="B71" s="35" t="s">
        <v>42</v>
      </c>
      <c r="C71" s="39" t="s">
        <v>71</v>
      </c>
      <c r="D71" s="63">
        <v>1</v>
      </c>
      <c r="E71" s="59" t="s">
        <v>2</v>
      </c>
      <c r="F71" s="62">
        <v>51700</v>
      </c>
      <c r="G71" s="60">
        <v>0.55000000000000004</v>
      </c>
      <c r="H71" s="61">
        <f t="shared" si="2"/>
        <v>23264.999999999996</v>
      </c>
      <c r="I71" s="61">
        <f t="shared" si="3"/>
        <v>23264.999999999996</v>
      </c>
    </row>
    <row r="72" spans="1:9" x14ac:dyDescent="0.25">
      <c r="A72" s="7">
        <v>3</v>
      </c>
      <c r="B72" s="4" t="s">
        <v>27</v>
      </c>
      <c r="C72" s="58" t="s">
        <v>71</v>
      </c>
      <c r="D72" s="59">
        <v>4</v>
      </c>
      <c r="E72" s="59" t="s">
        <v>2</v>
      </c>
      <c r="F72" s="59">
        <v>318</v>
      </c>
      <c r="G72" s="22">
        <v>0.68</v>
      </c>
      <c r="H72" s="61">
        <f t="shared" si="2"/>
        <v>101.75999999999999</v>
      </c>
      <c r="I72" s="61">
        <f t="shared" si="3"/>
        <v>407.03999999999996</v>
      </c>
    </row>
    <row r="73" spans="1:9" x14ac:dyDescent="0.25">
      <c r="A73" s="7">
        <v>5</v>
      </c>
      <c r="B73" s="36" t="s">
        <v>107</v>
      </c>
      <c r="C73" s="58" t="s">
        <v>71</v>
      </c>
      <c r="D73" s="59">
        <v>1</v>
      </c>
      <c r="E73" s="59" t="s">
        <v>2</v>
      </c>
      <c r="F73" s="62">
        <v>4760</v>
      </c>
      <c r="G73" s="60">
        <v>0.55000000000000004</v>
      </c>
      <c r="H73" s="61">
        <f t="shared" si="2"/>
        <v>2142</v>
      </c>
      <c r="I73" s="61">
        <f t="shared" si="3"/>
        <v>2142</v>
      </c>
    </row>
    <row r="74" spans="1:9" x14ac:dyDescent="0.25">
      <c r="A74" s="7">
        <v>6</v>
      </c>
      <c r="B74" s="36" t="s">
        <v>108</v>
      </c>
      <c r="C74" s="58" t="s">
        <v>71</v>
      </c>
      <c r="D74" s="59">
        <v>1</v>
      </c>
      <c r="E74" s="59" t="s">
        <v>2</v>
      </c>
      <c r="F74" s="62">
        <v>6410</v>
      </c>
      <c r="G74" s="60">
        <v>0.55000000000000004</v>
      </c>
      <c r="H74" s="61">
        <f t="shared" si="2"/>
        <v>2884.4999999999995</v>
      </c>
      <c r="I74" s="61">
        <f t="shared" si="3"/>
        <v>2884.4999999999995</v>
      </c>
    </row>
    <row r="75" spans="1:9" x14ac:dyDescent="0.25">
      <c r="A75" s="7">
        <v>7</v>
      </c>
      <c r="B75" s="4" t="s">
        <v>6</v>
      </c>
      <c r="C75" s="58" t="s">
        <v>71</v>
      </c>
      <c r="D75" s="59">
        <v>1</v>
      </c>
      <c r="E75" s="59" t="s">
        <v>2</v>
      </c>
      <c r="F75" s="62">
        <v>1200</v>
      </c>
      <c r="G75" s="60">
        <v>0.4</v>
      </c>
      <c r="H75" s="61">
        <f t="shared" si="2"/>
        <v>720</v>
      </c>
      <c r="I75" s="61">
        <f t="shared" si="3"/>
        <v>720</v>
      </c>
    </row>
    <row r="76" spans="1:9" x14ac:dyDescent="0.25">
      <c r="A76" s="7">
        <v>8</v>
      </c>
      <c r="B76" s="4" t="s">
        <v>74</v>
      </c>
      <c r="C76" s="58" t="s">
        <v>71</v>
      </c>
      <c r="D76" s="59">
        <v>1</v>
      </c>
      <c r="E76" s="59" t="s">
        <v>2</v>
      </c>
      <c r="F76" s="59">
        <v>6790</v>
      </c>
      <c r="G76" s="60">
        <v>0.4</v>
      </c>
      <c r="H76" s="61">
        <f t="shared" si="2"/>
        <v>4074</v>
      </c>
      <c r="I76" s="61">
        <f t="shared" si="3"/>
        <v>4074</v>
      </c>
    </row>
    <row r="77" spans="1:9" x14ac:dyDescent="0.25">
      <c r="A77" s="7"/>
      <c r="B77" s="50"/>
      <c r="C77" s="64"/>
      <c r="D77" s="65"/>
      <c r="E77" s="65"/>
      <c r="F77" s="65"/>
      <c r="G77" s="66"/>
      <c r="H77" s="67"/>
      <c r="I77" s="67"/>
    </row>
    <row r="78" spans="1:9" x14ac:dyDescent="0.25">
      <c r="A78" s="7">
        <v>1</v>
      </c>
      <c r="B78" s="35" t="s">
        <v>43</v>
      </c>
      <c r="C78" s="39" t="s">
        <v>71</v>
      </c>
      <c r="D78" s="63">
        <v>1</v>
      </c>
      <c r="E78" s="59" t="s">
        <v>2</v>
      </c>
      <c r="F78" s="62">
        <v>70500</v>
      </c>
      <c r="G78" s="60">
        <v>0.55000000000000004</v>
      </c>
      <c r="H78" s="61">
        <f t="shared" si="2"/>
        <v>31724.999999999996</v>
      </c>
      <c r="I78" s="61">
        <f t="shared" si="3"/>
        <v>31724.999999999996</v>
      </c>
    </row>
    <row r="79" spans="1:9" x14ac:dyDescent="0.25">
      <c r="A79" s="7">
        <v>3</v>
      </c>
      <c r="B79" s="4" t="s">
        <v>27</v>
      </c>
      <c r="C79" s="58" t="s">
        <v>71</v>
      </c>
      <c r="D79" s="59">
        <v>4</v>
      </c>
      <c r="E79" s="59" t="s">
        <v>2</v>
      </c>
      <c r="F79" s="59">
        <v>318</v>
      </c>
      <c r="G79" s="22">
        <v>0.68</v>
      </c>
      <c r="H79" s="61">
        <f t="shared" si="2"/>
        <v>101.75999999999999</v>
      </c>
      <c r="I79" s="61">
        <f t="shared" si="3"/>
        <v>407.03999999999996</v>
      </c>
    </row>
    <row r="80" spans="1:9" x14ac:dyDescent="0.25">
      <c r="A80" s="7">
        <v>5</v>
      </c>
      <c r="B80" s="36" t="s">
        <v>111</v>
      </c>
      <c r="C80" s="58" t="s">
        <v>71</v>
      </c>
      <c r="D80" s="59">
        <v>1</v>
      </c>
      <c r="E80" s="59" t="s">
        <v>2</v>
      </c>
      <c r="F80" s="62">
        <v>4760</v>
      </c>
      <c r="G80" s="60">
        <v>0.55000000000000004</v>
      </c>
      <c r="H80" s="61">
        <f t="shared" si="2"/>
        <v>2142</v>
      </c>
      <c r="I80" s="61">
        <f t="shared" si="3"/>
        <v>2142</v>
      </c>
    </row>
    <row r="81" spans="1:9" x14ac:dyDescent="0.25">
      <c r="A81" s="7">
        <v>6</v>
      </c>
      <c r="B81" s="36" t="s">
        <v>112</v>
      </c>
      <c r="C81" s="58" t="s">
        <v>71</v>
      </c>
      <c r="D81" s="59">
        <v>1</v>
      </c>
      <c r="E81" s="59" t="s">
        <v>2</v>
      </c>
      <c r="F81" s="62">
        <v>13300</v>
      </c>
      <c r="G81" s="60">
        <v>0.55000000000000004</v>
      </c>
      <c r="H81" s="61">
        <f t="shared" si="2"/>
        <v>5984.9999999999991</v>
      </c>
      <c r="I81" s="61">
        <f t="shared" si="3"/>
        <v>5984.9999999999991</v>
      </c>
    </row>
    <row r="82" spans="1:9" x14ac:dyDescent="0.25">
      <c r="A82" s="7">
        <v>7</v>
      </c>
      <c r="B82" s="4" t="s">
        <v>6</v>
      </c>
      <c r="C82" s="58" t="s">
        <v>71</v>
      </c>
      <c r="D82" s="59">
        <v>1</v>
      </c>
      <c r="E82" s="59" t="s">
        <v>2</v>
      </c>
      <c r="F82" s="62">
        <v>1200</v>
      </c>
      <c r="G82" s="60">
        <v>0.4</v>
      </c>
      <c r="H82" s="61">
        <f t="shared" si="2"/>
        <v>720</v>
      </c>
      <c r="I82" s="61">
        <f t="shared" si="3"/>
        <v>720</v>
      </c>
    </row>
    <row r="83" spans="1:9" x14ac:dyDescent="0.25">
      <c r="A83" s="7">
        <v>8</v>
      </c>
      <c r="B83" s="4" t="s">
        <v>74</v>
      </c>
      <c r="C83" s="58" t="s">
        <v>71</v>
      </c>
      <c r="D83" s="59">
        <v>1</v>
      </c>
      <c r="E83" s="59" t="s">
        <v>2</v>
      </c>
      <c r="F83" s="59">
        <v>6790</v>
      </c>
      <c r="G83" s="60">
        <v>0.4</v>
      </c>
      <c r="H83" s="61">
        <f t="shared" si="2"/>
        <v>4074</v>
      </c>
      <c r="I83" s="61">
        <f t="shared" si="3"/>
        <v>4074</v>
      </c>
    </row>
    <row r="84" spans="1:9" x14ac:dyDescent="0.25">
      <c r="A84" s="7"/>
      <c r="B84" s="4"/>
      <c r="C84" s="58"/>
      <c r="D84" s="59"/>
      <c r="E84" s="59"/>
      <c r="F84" s="59"/>
      <c r="G84" s="60"/>
      <c r="H84" s="61"/>
      <c r="I84" s="61"/>
    </row>
    <row r="85" spans="1:9" x14ac:dyDescent="0.25">
      <c r="A85" s="7">
        <v>1</v>
      </c>
      <c r="B85" s="35" t="s">
        <v>44</v>
      </c>
      <c r="C85" s="39" t="s">
        <v>71</v>
      </c>
      <c r="D85" s="63">
        <v>1</v>
      </c>
      <c r="E85" s="59" t="s">
        <v>2</v>
      </c>
      <c r="F85" s="62">
        <v>73300</v>
      </c>
      <c r="G85" s="60">
        <v>0.55000000000000004</v>
      </c>
      <c r="H85" s="61">
        <f t="shared" si="2"/>
        <v>32985</v>
      </c>
      <c r="I85" s="61">
        <f t="shared" si="3"/>
        <v>32985</v>
      </c>
    </row>
    <row r="86" spans="1:9" x14ac:dyDescent="0.25">
      <c r="A86" s="7">
        <v>3</v>
      </c>
      <c r="B86" s="4" t="s">
        <v>27</v>
      </c>
      <c r="C86" s="58" t="s">
        <v>71</v>
      </c>
      <c r="D86" s="59">
        <v>4</v>
      </c>
      <c r="E86" s="59" t="s">
        <v>2</v>
      </c>
      <c r="F86" s="59">
        <v>318</v>
      </c>
      <c r="G86" s="22">
        <v>0.68</v>
      </c>
      <c r="H86" s="61">
        <f t="shared" si="2"/>
        <v>101.75999999999999</v>
      </c>
      <c r="I86" s="61">
        <f t="shared" si="3"/>
        <v>407.03999999999996</v>
      </c>
    </row>
    <row r="87" spans="1:9" x14ac:dyDescent="0.25">
      <c r="A87" s="7">
        <v>5</v>
      </c>
      <c r="B87" s="36" t="s">
        <v>100</v>
      </c>
      <c r="C87" s="58" t="s">
        <v>71</v>
      </c>
      <c r="D87" s="59">
        <v>1</v>
      </c>
      <c r="E87" s="59" t="s">
        <v>2</v>
      </c>
      <c r="F87" s="62">
        <v>4760</v>
      </c>
      <c r="G87" s="60">
        <v>0.55000000000000004</v>
      </c>
      <c r="H87" s="61">
        <f t="shared" si="2"/>
        <v>2142</v>
      </c>
      <c r="I87" s="61">
        <f t="shared" si="3"/>
        <v>2142</v>
      </c>
    </row>
    <row r="88" spans="1:9" x14ac:dyDescent="0.25">
      <c r="A88" s="7">
        <v>6</v>
      </c>
      <c r="B88" s="36" t="s">
        <v>101</v>
      </c>
      <c r="C88" s="58" t="s">
        <v>71</v>
      </c>
      <c r="D88" s="59">
        <v>1</v>
      </c>
      <c r="E88" s="59" t="s">
        <v>2</v>
      </c>
      <c r="F88" s="62">
        <v>13300</v>
      </c>
      <c r="G88" s="60">
        <v>0.55000000000000004</v>
      </c>
      <c r="H88" s="61">
        <f t="shared" si="2"/>
        <v>5984.9999999999991</v>
      </c>
      <c r="I88" s="61">
        <f t="shared" si="3"/>
        <v>5984.9999999999991</v>
      </c>
    </row>
    <row r="89" spans="1:9" x14ac:dyDescent="0.25">
      <c r="A89" s="7">
        <v>7</v>
      </c>
      <c r="B89" s="4" t="s">
        <v>6</v>
      </c>
      <c r="C89" s="58" t="s">
        <v>71</v>
      </c>
      <c r="D89" s="59">
        <v>1</v>
      </c>
      <c r="E89" s="59" t="s">
        <v>2</v>
      </c>
      <c r="F89" s="62">
        <v>1200</v>
      </c>
      <c r="G89" s="60">
        <v>0.4</v>
      </c>
      <c r="H89" s="61">
        <f t="shared" si="2"/>
        <v>720</v>
      </c>
      <c r="I89" s="61">
        <f t="shared" si="3"/>
        <v>720</v>
      </c>
    </row>
    <row r="90" spans="1:9" x14ac:dyDescent="0.25">
      <c r="A90" s="7">
        <v>8</v>
      </c>
      <c r="B90" s="4" t="s">
        <v>74</v>
      </c>
      <c r="C90" s="58" t="s">
        <v>71</v>
      </c>
      <c r="D90" s="59">
        <v>1</v>
      </c>
      <c r="E90" s="59" t="s">
        <v>2</v>
      </c>
      <c r="F90" s="59">
        <v>6790</v>
      </c>
      <c r="G90" s="60">
        <v>0.4</v>
      </c>
      <c r="H90" s="61">
        <f t="shared" si="2"/>
        <v>4074</v>
      </c>
      <c r="I90" s="61">
        <f t="shared" si="3"/>
        <v>4074</v>
      </c>
    </row>
    <row r="91" spans="1:9" x14ac:dyDescent="0.25">
      <c r="A91" s="7"/>
      <c r="B91" s="50"/>
      <c r="C91" s="64"/>
      <c r="D91" s="65"/>
      <c r="E91" s="65"/>
      <c r="F91" s="65"/>
      <c r="G91" s="66"/>
      <c r="H91" s="67"/>
      <c r="I91" s="67"/>
    </row>
    <row r="92" spans="1:9" x14ac:dyDescent="0.25">
      <c r="A92" s="7">
        <v>1</v>
      </c>
      <c r="B92" s="35" t="s">
        <v>40</v>
      </c>
      <c r="C92" s="39" t="s">
        <v>71</v>
      </c>
      <c r="D92" s="63">
        <v>1</v>
      </c>
      <c r="E92" s="59" t="s">
        <v>2</v>
      </c>
      <c r="F92" s="62">
        <v>51700</v>
      </c>
      <c r="G92" s="60">
        <v>0.55000000000000004</v>
      </c>
      <c r="H92" s="61">
        <f t="shared" ref="H92:H116" si="4">F92*(1-G92)</f>
        <v>23264.999999999996</v>
      </c>
      <c r="I92" s="61">
        <f t="shared" ref="I92:I104" si="5">D92*H92</f>
        <v>23264.999999999996</v>
      </c>
    </row>
    <row r="93" spans="1:9" x14ac:dyDescent="0.25">
      <c r="A93" s="7">
        <v>3</v>
      </c>
      <c r="B93" s="4" t="s">
        <v>27</v>
      </c>
      <c r="C93" s="58" t="s">
        <v>71</v>
      </c>
      <c r="D93" s="59">
        <v>4</v>
      </c>
      <c r="E93" s="59" t="s">
        <v>2</v>
      </c>
      <c r="F93" s="59">
        <v>318</v>
      </c>
      <c r="G93" s="22">
        <v>0.68</v>
      </c>
      <c r="H93" s="61">
        <f t="shared" si="4"/>
        <v>101.75999999999999</v>
      </c>
      <c r="I93" s="61">
        <f t="shared" si="5"/>
        <v>407.03999999999996</v>
      </c>
    </row>
    <row r="94" spans="1:9" x14ac:dyDescent="0.25">
      <c r="A94" s="7">
        <v>5</v>
      </c>
      <c r="B94" s="36" t="s">
        <v>98</v>
      </c>
      <c r="C94" s="58" t="s">
        <v>71</v>
      </c>
      <c r="D94" s="59">
        <v>1</v>
      </c>
      <c r="E94" s="59" t="s">
        <v>2</v>
      </c>
      <c r="F94" s="62">
        <v>4760</v>
      </c>
      <c r="G94" s="60">
        <v>0.55000000000000004</v>
      </c>
      <c r="H94" s="61">
        <f t="shared" si="4"/>
        <v>2142</v>
      </c>
      <c r="I94" s="61">
        <f t="shared" si="5"/>
        <v>2142</v>
      </c>
    </row>
    <row r="95" spans="1:9" x14ac:dyDescent="0.25">
      <c r="A95" s="7">
        <v>6</v>
      </c>
      <c r="B95" s="36" t="s">
        <v>99</v>
      </c>
      <c r="C95" s="58" t="s">
        <v>71</v>
      </c>
      <c r="D95" s="59">
        <v>1</v>
      </c>
      <c r="E95" s="59" t="s">
        <v>2</v>
      </c>
      <c r="F95" s="62">
        <v>6410</v>
      </c>
      <c r="G95" s="60">
        <v>0.55000000000000004</v>
      </c>
      <c r="H95" s="61">
        <f t="shared" si="4"/>
        <v>2884.4999999999995</v>
      </c>
      <c r="I95" s="61">
        <f t="shared" si="5"/>
        <v>2884.4999999999995</v>
      </c>
    </row>
    <row r="96" spans="1:9" x14ac:dyDescent="0.25">
      <c r="A96" s="7">
        <v>7</v>
      </c>
      <c r="B96" s="4" t="s">
        <v>6</v>
      </c>
      <c r="C96" s="58" t="s">
        <v>71</v>
      </c>
      <c r="D96" s="59">
        <v>1</v>
      </c>
      <c r="E96" s="59" t="s">
        <v>2</v>
      </c>
      <c r="F96" s="62">
        <v>1200</v>
      </c>
      <c r="G96" s="60">
        <v>0.4</v>
      </c>
      <c r="H96" s="61">
        <f t="shared" si="4"/>
        <v>720</v>
      </c>
      <c r="I96" s="61">
        <f t="shared" si="5"/>
        <v>720</v>
      </c>
    </row>
    <row r="97" spans="1:9" x14ac:dyDescent="0.25">
      <c r="A97" s="7">
        <v>8</v>
      </c>
      <c r="B97" s="4" t="s">
        <v>74</v>
      </c>
      <c r="C97" s="58" t="s">
        <v>71</v>
      </c>
      <c r="D97" s="59">
        <v>1</v>
      </c>
      <c r="E97" s="59" t="s">
        <v>2</v>
      </c>
      <c r="F97" s="59">
        <v>6790</v>
      </c>
      <c r="G97" s="60">
        <v>0.4</v>
      </c>
      <c r="H97" s="61">
        <f t="shared" si="4"/>
        <v>4074</v>
      </c>
      <c r="I97" s="61">
        <f t="shared" si="5"/>
        <v>4074</v>
      </c>
    </row>
    <row r="98" spans="1:9" x14ac:dyDescent="0.25">
      <c r="A98" s="7"/>
      <c r="B98" s="50"/>
      <c r="C98" s="64"/>
      <c r="D98" s="65"/>
      <c r="E98" s="65"/>
      <c r="F98" s="65"/>
      <c r="G98" s="66"/>
      <c r="H98" s="67"/>
      <c r="I98" s="67"/>
    </row>
    <row r="99" spans="1:9" x14ac:dyDescent="0.25">
      <c r="A99" s="7">
        <v>1</v>
      </c>
      <c r="B99" s="35" t="s">
        <v>45</v>
      </c>
      <c r="C99" s="39" t="s">
        <v>71</v>
      </c>
      <c r="D99" s="63">
        <v>1</v>
      </c>
      <c r="E99" s="59" t="s">
        <v>2</v>
      </c>
      <c r="F99" s="62">
        <v>37600</v>
      </c>
      <c r="G99" s="60">
        <v>0.55000000000000004</v>
      </c>
      <c r="H99" s="61">
        <f t="shared" si="4"/>
        <v>16920</v>
      </c>
      <c r="I99" s="61">
        <f t="shared" si="5"/>
        <v>16920</v>
      </c>
    </row>
    <row r="100" spans="1:9" x14ac:dyDescent="0.25">
      <c r="A100" s="7">
        <v>3</v>
      </c>
      <c r="B100" s="4" t="s">
        <v>27</v>
      </c>
      <c r="C100" s="58" t="s">
        <v>71</v>
      </c>
      <c r="D100" s="59">
        <v>4</v>
      </c>
      <c r="E100" s="59" t="s">
        <v>2</v>
      </c>
      <c r="F100" s="59">
        <v>318</v>
      </c>
      <c r="G100" s="22">
        <v>0.68</v>
      </c>
      <c r="H100" s="61">
        <f t="shared" si="4"/>
        <v>101.75999999999999</v>
      </c>
      <c r="I100" s="61">
        <f t="shared" si="5"/>
        <v>407.03999999999996</v>
      </c>
    </row>
    <row r="101" spans="1:9" x14ac:dyDescent="0.25">
      <c r="A101" s="7">
        <v>5</v>
      </c>
      <c r="B101" s="36" t="s">
        <v>96</v>
      </c>
      <c r="C101" s="58" t="s">
        <v>71</v>
      </c>
      <c r="D101" s="59">
        <v>1</v>
      </c>
      <c r="E101" s="59" t="s">
        <v>2</v>
      </c>
      <c r="F101" s="62">
        <v>2790</v>
      </c>
      <c r="G101" s="60">
        <v>0.55000000000000004</v>
      </c>
      <c r="H101" s="61">
        <f t="shared" si="4"/>
        <v>1255.4999999999998</v>
      </c>
      <c r="I101" s="61">
        <f t="shared" si="5"/>
        <v>1255.4999999999998</v>
      </c>
    </row>
    <row r="102" spans="1:9" x14ac:dyDescent="0.25">
      <c r="A102" s="7">
        <v>6</v>
      </c>
      <c r="B102" s="36" t="s">
        <v>97</v>
      </c>
      <c r="C102" s="58" t="s">
        <v>71</v>
      </c>
      <c r="D102" s="59">
        <v>1</v>
      </c>
      <c r="E102" s="59" t="s">
        <v>2</v>
      </c>
      <c r="F102" s="62">
        <v>6310</v>
      </c>
      <c r="G102" s="60">
        <v>0.55000000000000004</v>
      </c>
      <c r="H102" s="61">
        <f t="shared" si="4"/>
        <v>2839.4999999999995</v>
      </c>
      <c r="I102" s="61">
        <f t="shared" si="5"/>
        <v>2839.4999999999995</v>
      </c>
    </row>
    <row r="103" spans="1:9" x14ac:dyDescent="0.25">
      <c r="A103" s="7">
        <v>7</v>
      </c>
      <c r="B103" s="4" t="s">
        <v>6</v>
      </c>
      <c r="C103" s="58" t="s">
        <v>71</v>
      </c>
      <c r="D103" s="59">
        <v>1</v>
      </c>
      <c r="E103" s="59" t="s">
        <v>2</v>
      </c>
      <c r="F103" s="62">
        <v>1200</v>
      </c>
      <c r="G103" s="60">
        <v>0.4</v>
      </c>
      <c r="H103" s="61">
        <f t="shared" si="4"/>
        <v>720</v>
      </c>
      <c r="I103" s="61">
        <f t="shared" si="5"/>
        <v>720</v>
      </c>
    </row>
    <row r="104" spans="1:9" x14ac:dyDescent="0.25">
      <c r="A104" s="7">
        <v>8</v>
      </c>
      <c r="B104" s="4" t="s">
        <v>74</v>
      </c>
      <c r="C104" s="58" t="s">
        <v>71</v>
      </c>
      <c r="D104" s="59">
        <v>1</v>
      </c>
      <c r="E104" s="59" t="s">
        <v>2</v>
      </c>
      <c r="F104" s="59">
        <v>6790</v>
      </c>
      <c r="G104" s="60">
        <v>0.4</v>
      </c>
      <c r="H104" s="61">
        <f t="shared" si="4"/>
        <v>4074</v>
      </c>
      <c r="I104" s="61">
        <f t="shared" si="5"/>
        <v>4074</v>
      </c>
    </row>
    <row r="105" spans="1:9" x14ac:dyDescent="0.25">
      <c r="A105" s="7"/>
      <c r="B105" s="50"/>
      <c r="C105" s="64"/>
      <c r="D105" s="65"/>
      <c r="E105" s="65"/>
      <c r="F105" s="65"/>
      <c r="G105" s="66"/>
      <c r="H105" s="67"/>
      <c r="I105" s="67"/>
    </row>
    <row r="106" spans="1:9" x14ac:dyDescent="0.25">
      <c r="A106" s="7">
        <v>1</v>
      </c>
      <c r="B106" s="4" t="s">
        <v>95</v>
      </c>
      <c r="C106" s="58" t="s">
        <v>71</v>
      </c>
      <c r="D106" s="59">
        <v>2</v>
      </c>
      <c r="E106" s="59" t="s">
        <v>2</v>
      </c>
      <c r="F106" s="62">
        <v>0</v>
      </c>
      <c r="G106" s="60">
        <v>0.6</v>
      </c>
      <c r="H106" s="61">
        <f t="shared" ref="H106:H109" si="6">F106*(1-G106)</f>
        <v>0</v>
      </c>
      <c r="I106" s="61">
        <f t="shared" ref="I106" si="7">D106*H106</f>
        <v>0</v>
      </c>
    </row>
    <row r="107" spans="1:9" x14ac:dyDescent="0.25">
      <c r="A107" s="7">
        <v>2</v>
      </c>
      <c r="B107" s="35" t="s">
        <v>45</v>
      </c>
      <c r="C107" s="39" t="s">
        <v>71</v>
      </c>
      <c r="D107" s="63">
        <v>2</v>
      </c>
      <c r="E107" s="59" t="s">
        <v>2</v>
      </c>
      <c r="F107" s="62">
        <v>37600</v>
      </c>
      <c r="G107" s="60">
        <v>0.55000000000000004</v>
      </c>
      <c r="H107" s="61">
        <f t="shared" si="6"/>
        <v>16920</v>
      </c>
      <c r="I107" s="61">
        <f>D107*H107</f>
        <v>33840</v>
      </c>
    </row>
    <row r="108" spans="1:9" x14ac:dyDescent="0.25">
      <c r="A108" s="7">
        <v>3</v>
      </c>
      <c r="B108" s="36" t="s">
        <v>96</v>
      </c>
      <c r="C108" s="58" t="s">
        <v>71</v>
      </c>
      <c r="D108" s="59">
        <v>2</v>
      </c>
      <c r="E108" s="59" t="s">
        <v>2</v>
      </c>
      <c r="F108" s="62">
        <v>2790</v>
      </c>
      <c r="G108" s="60">
        <v>0.55000000000000004</v>
      </c>
      <c r="H108" s="61">
        <f t="shared" si="6"/>
        <v>1255.4999999999998</v>
      </c>
      <c r="I108" s="61">
        <f>D108*H108</f>
        <v>2510.9999999999995</v>
      </c>
    </row>
    <row r="109" spans="1:9" x14ac:dyDescent="0.25">
      <c r="A109" s="7">
        <v>4</v>
      </c>
      <c r="B109" s="36" t="s">
        <v>97</v>
      </c>
      <c r="C109" s="58" t="s">
        <v>71</v>
      </c>
      <c r="D109" s="59">
        <v>2</v>
      </c>
      <c r="E109" s="59" t="s">
        <v>2</v>
      </c>
      <c r="F109" s="62">
        <v>6310</v>
      </c>
      <c r="G109" s="60">
        <v>0.55000000000000004</v>
      </c>
      <c r="H109" s="61">
        <f t="shared" si="6"/>
        <v>2839.4999999999995</v>
      </c>
      <c r="I109" s="61">
        <f>D109*H109</f>
        <v>5678.9999999999991</v>
      </c>
    </row>
    <row r="110" spans="1:9" x14ac:dyDescent="0.25">
      <c r="A110" s="7"/>
      <c r="B110" s="4"/>
      <c r="C110" s="58"/>
      <c r="D110" s="59"/>
      <c r="E110" s="59"/>
      <c r="F110" s="62"/>
      <c r="G110" s="60"/>
      <c r="H110" s="61"/>
      <c r="I110" s="76">
        <f>SUM(I4:I109)</f>
        <v>753056.81</v>
      </c>
    </row>
    <row r="111" spans="1:9" x14ac:dyDescent="0.25">
      <c r="A111" s="7"/>
      <c r="B111" s="4"/>
      <c r="C111" s="58"/>
      <c r="D111" s="59"/>
      <c r="E111" s="59"/>
      <c r="F111" s="62"/>
      <c r="G111" s="60"/>
      <c r="H111" s="61"/>
      <c r="I111" s="61"/>
    </row>
    <row r="112" spans="1:9" x14ac:dyDescent="0.25">
      <c r="A112" s="7">
        <v>1</v>
      </c>
      <c r="B112" s="4" t="s">
        <v>62</v>
      </c>
      <c r="C112" s="58" t="s">
        <v>70</v>
      </c>
      <c r="D112" s="59"/>
      <c r="E112" s="59"/>
      <c r="F112" s="59">
        <v>0</v>
      </c>
      <c r="G112" s="60">
        <v>0</v>
      </c>
      <c r="H112" s="61">
        <f t="shared" si="4"/>
        <v>0</v>
      </c>
      <c r="I112" s="61">
        <v>600000</v>
      </c>
    </row>
    <row r="113" spans="1:11" x14ac:dyDescent="0.25">
      <c r="A113" s="7">
        <v>2</v>
      </c>
      <c r="B113" s="3" t="s">
        <v>57</v>
      </c>
      <c r="C113" s="11"/>
      <c r="D113" s="7">
        <v>1</v>
      </c>
      <c r="E113" s="7"/>
      <c r="F113" s="7">
        <v>0</v>
      </c>
      <c r="G113" s="24">
        <v>0</v>
      </c>
      <c r="H113" s="25">
        <f t="shared" si="4"/>
        <v>0</v>
      </c>
      <c r="I113" s="25">
        <v>15000</v>
      </c>
    </row>
    <row r="114" spans="1:11" x14ac:dyDescent="0.25">
      <c r="A114" s="7">
        <v>3</v>
      </c>
      <c r="B114" s="3" t="s">
        <v>28</v>
      </c>
      <c r="C114" s="8" t="s">
        <v>69</v>
      </c>
      <c r="D114" s="7">
        <v>1</v>
      </c>
      <c r="E114" s="7"/>
      <c r="F114" s="7">
        <v>0</v>
      </c>
      <c r="G114" s="24">
        <v>0</v>
      </c>
      <c r="H114" s="25">
        <f t="shared" si="4"/>
        <v>0</v>
      </c>
      <c r="I114" s="25">
        <v>25000</v>
      </c>
    </row>
    <row r="115" spans="1:11" x14ac:dyDescent="0.25">
      <c r="A115" s="7">
        <v>4</v>
      </c>
      <c r="B115" s="3" t="s">
        <v>3</v>
      </c>
      <c r="C115" s="8" t="s">
        <v>68</v>
      </c>
      <c r="D115" s="7">
        <v>1</v>
      </c>
      <c r="E115" s="7"/>
      <c r="F115" s="7">
        <v>0</v>
      </c>
      <c r="G115" s="24">
        <v>0</v>
      </c>
      <c r="H115" s="25">
        <f t="shared" si="4"/>
        <v>0</v>
      </c>
      <c r="I115" s="25">
        <v>136000</v>
      </c>
      <c r="K115">
        <v>250000</v>
      </c>
    </row>
    <row r="116" spans="1:11" x14ac:dyDescent="0.25">
      <c r="A116" s="7">
        <v>5</v>
      </c>
      <c r="B116" s="3" t="s">
        <v>18</v>
      </c>
      <c r="C116" s="8"/>
      <c r="D116" s="7">
        <v>1</v>
      </c>
      <c r="E116" s="7"/>
      <c r="F116" s="7">
        <v>0</v>
      </c>
      <c r="G116" s="24">
        <v>0</v>
      </c>
      <c r="H116" s="25">
        <f t="shared" si="4"/>
        <v>0</v>
      </c>
      <c r="I116" s="25">
        <v>239050</v>
      </c>
    </row>
    <row r="117" spans="1:11" x14ac:dyDescent="0.25">
      <c r="A117" s="7"/>
      <c r="B117" s="3"/>
      <c r="C117" s="8"/>
      <c r="D117" s="7"/>
      <c r="E117" s="7"/>
      <c r="F117" s="7"/>
      <c r="G117" s="24"/>
      <c r="H117" s="25"/>
      <c r="I117" s="25">
        <v>0</v>
      </c>
    </row>
    <row r="118" spans="1:11" x14ac:dyDescent="0.25">
      <c r="A118" s="7"/>
      <c r="B118" s="9"/>
      <c r="C118" s="8"/>
      <c r="D118" s="7"/>
      <c r="E118" s="7"/>
      <c r="F118" s="7"/>
      <c r="G118" s="24"/>
      <c r="H118" s="7" t="s">
        <v>48</v>
      </c>
      <c r="I118" s="77">
        <f>SUM(I112:I117)</f>
        <v>1015050</v>
      </c>
    </row>
    <row r="119" spans="1:11" x14ac:dyDescent="0.25">
      <c r="H119" s="78" t="s">
        <v>65</v>
      </c>
      <c r="I119" s="78">
        <f>I118*20%</f>
        <v>203010</v>
      </c>
    </row>
    <row r="120" spans="1:11" x14ac:dyDescent="0.25">
      <c r="H120" s="78"/>
      <c r="I120" s="79">
        <f>I118+I119</f>
        <v>1218060</v>
      </c>
    </row>
    <row r="122" spans="1:11" x14ac:dyDescent="0.25">
      <c r="E122"/>
      <c r="F122"/>
      <c r="G122"/>
      <c r="H122"/>
      <c r="I122"/>
    </row>
    <row r="123" spans="1:11" x14ac:dyDescent="0.25">
      <c r="E123"/>
      <c r="F123"/>
      <c r="G123"/>
      <c r="H123"/>
      <c r="I123"/>
    </row>
    <row r="124" spans="1:11" x14ac:dyDescent="0.25">
      <c r="E124"/>
      <c r="F124"/>
      <c r="G124"/>
      <c r="H124"/>
      <c r="I124"/>
    </row>
    <row r="125" spans="1:11" x14ac:dyDescent="0.25">
      <c r="E125"/>
      <c r="F125"/>
      <c r="G125"/>
      <c r="H125"/>
      <c r="I125"/>
    </row>
    <row r="126" spans="1:11" x14ac:dyDescent="0.25">
      <c r="E126"/>
      <c r="F126"/>
      <c r="G126"/>
      <c r="H126"/>
      <c r="I126"/>
    </row>
    <row r="127" spans="1:11" x14ac:dyDescent="0.25">
      <c r="E127"/>
      <c r="F127"/>
      <c r="G127"/>
      <c r="H127"/>
      <c r="I127"/>
    </row>
  </sheetData>
  <autoFilter ref="B1:B127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MAIN L.T. PANEL_8,5,26</vt:lpstr>
      <vt:lpstr>MAIN L.T. PANEL_L&amp;T</vt:lpstr>
      <vt:lpstr>MAIN L.T. PANEL_L&amp;T-2</vt:lpstr>
      <vt:lpstr>L&amp;T MATERIALS ONLY</vt:lpstr>
      <vt:lpstr>'MAIN L.T. PANEL_8,5,26'!Print_Area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</dc:creator>
  <cp:lastModifiedBy>DELL</cp:lastModifiedBy>
  <cp:lastPrinted>2026-05-08T10:02:34Z</cp:lastPrinted>
  <dcterms:created xsi:type="dcterms:W3CDTF">2025-06-14T09:55:01Z</dcterms:created>
  <dcterms:modified xsi:type="dcterms:W3CDTF">2026-05-10T10:15:59Z</dcterms:modified>
</cp:coreProperties>
</file>